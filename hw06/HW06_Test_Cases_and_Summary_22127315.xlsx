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d55f9d41b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4072b322cf44745"/>
    <x:sheet xmlns:r="http://schemas.openxmlformats.org/officeDocument/2006/relationships" name="Test Cases" sheetId="2" r:id="R209b57b1ec6b42e4"/>
    <x:sheet xmlns:r="http://schemas.openxmlformats.org/officeDocument/2006/relationships" name="Test Summary" sheetId="3" r:id="R9849d0fcc657483e"/>
    <x:sheet xmlns:r="http://schemas.openxmlformats.org/officeDocument/2006/relationships" name="Newman Pilot" sheetId="4" r:id="R3d82525bfa2a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19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4" borderId="18" xfId="0" applyNumberFormat="1" applyFont="1" applyFill="1" applyBorder="1"/>
    <x:xf numFmtId="0" fontId="3" fillId="4" borderId="18" xfId="0" applyNumberFormat="1" applyFont="1" applyFill="1" applyBorder="1"/>
  </x:cellXfs>
  <x:cellStyles count="1">
    <x:cellStyle name="Normal" xfId="0"/>
  </x:cellStyles>
  <x:dxfs count="5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26bab063047a6" /><Relationship Type="http://schemas.openxmlformats.org/officeDocument/2006/relationships/theme" Target="/xl/theme/theme1.xml" Id="Rf4522792c1fd48d3" /><Relationship Type="http://schemas.openxmlformats.org/officeDocument/2006/relationships/sharedStrings" Target="/xl/sharedStrings.xml" Id="R55e86f2b66bf44ae" /><Relationship Type="http://schemas.openxmlformats.org/officeDocument/2006/relationships/worksheet" Target="/xl/worksheets/sheet1.xml" Id="R94072b322cf44745" /><Relationship Type="http://schemas.openxmlformats.org/officeDocument/2006/relationships/worksheet" Target="/xl/worksheets/sheet2.xml" Id="R209b57b1ec6b42e4" /><Relationship Type="http://schemas.openxmlformats.org/officeDocument/2006/relationships/worksheet" Target="/xl/worksheets/sheet3.xml" Id="R9849d0fcc657483e" /><Relationship Type="http://schemas.openxmlformats.org/officeDocument/2006/relationships/worksheet" Target="/xl/worksheets/sheet4.xml" Id="R3d82525bfa2a422d" /></Relationships>
</file>

<file path=xl/tables/table1.xml><?xml version="1.0" encoding="utf-8"?>
<x:table xmlns:x="http://schemas.openxmlformats.org/spreadsheetml/2006/main" id="1" name="Hw06TestCases" displayName="Hw06TestCases" ref="A1:L96" headerRowCount="1" totalsRowCount="0" totalsRowShown="0">
  <x:tableColumns count="12">
    <x:tableColumn id="1" name="ID"/>
    <x:tableColumn id="2" name="FR"/>
    <x:tableColumn id="3" name="Nhóm kỹ thuật"/>
    <x:tableColumn id="4" name="Tóm tắt test case AI đề xuất"/>
    <x:tableColumn id="5" name="Kỳ vọng / điểm cần audit"/>
    <x:tableColumn id="6" name="Nguồn"/>
    <x:tableColumn id="7" name="Nhãn audit"/>
    <x:tableColumn id="8" name="Giải thích lý do / hiệu chỉnh"/>
    <x:tableColumn id="9" name="Trạng thái chạy"/>
    <x:tableColumn id="10" name="Kết quả thực tế"/>
    <x:tableColumn id="11" name="Bằng chứng"/>
    <x:tableColumn id="12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c26a780c6c4f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12" t="str">
        <x:v>HW06 - API Testing | Excel Test Cases &amp; Test Summary</x:v>
      </x:c>
      <x:c r="B1" s="13"/>
      <x:c r="C1" s="13"/>
      <x:c r="D1" s="13"/>
      <x:c r="E1" s="13"/>
      <x:c r="F1" s="13"/>
      <x:c r="G1" s="13"/>
      <x:c r="H1" s="14"/>
    </x:row>
    <x:row r="2">
      <x:c r="A2" s="15" t="str">
        <x:v>MSSV: 22127315 | SUT: EShop | Nguồn: REPORT.md và các artifacts Newman trong hw06</x:v>
      </x:c>
      <x:c r="B2" s="11"/>
      <x:c r="C2" s="11"/>
      <x:c r="D2" s="11"/>
      <x:c r="E2" s="11"/>
      <x:c r="F2" s="11"/>
      <x:c r="G2" s="11"/>
      <x:c r="H2" s="16"/>
    </x:row>
    <x:row r="3">
      <x:c r="A3" s="15"/>
      <x:c r="B3" s="11"/>
      <x:c r="C3" s="11"/>
      <x:c r="D3" s="11"/>
      <x:c r="E3" s="11"/>
      <x:c r="F3" s="11"/>
      <x:c r="G3" s="11"/>
      <x:c r="H3" s="16"/>
    </x:row>
    <x:row r="4">
      <x:c r="A4" s="17" t="str">
        <x:v>Nội dung</x:v>
      </x:c>
      <x:c r="B4" s="9" t="str">
        <x:v>Hướng dẫn sử dụng</x:v>
      </x:c>
      <x:c r="C4" s="11"/>
      <x:c r="D4" s="11"/>
      <x:c r="E4" s="11"/>
      <x:c r="F4" s="11"/>
      <x:c r="G4" s="11"/>
      <x:c r="H4" s="16"/>
    </x:row>
    <x:row r="5">
      <x:c r="A5" s="15" t="str">
        <x:v>Test Cases</x:v>
      </x:c>
      <x:c r="B5" s="11" t="str">
        <x:v>Mỗi dòng là một test case AI đã sinh. Điền Nhãn audit là VALID, INVALID hoặc INCOMPLETE; nêu lý do; sau khi chạy cập nhật Trạng thái chạy, Kết quả thực tế và Bằng chứng.</x:v>
      </x:c>
      <x:c r="C5" s="11"/>
      <x:c r="D5" s="11"/>
      <x:c r="E5" s="11"/>
      <x:c r="F5" s="11"/>
      <x:c r="G5" s="11"/>
      <x:c r="H5" s="16"/>
    </x:row>
    <x:row r="6">
      <x:c r="A6" s="15" t="str">
        <x:v>Test Summary</x:v>
      </x:c>
      <x:c r="B6" s="11" t="str">
        <x:v>Các số liệu được tính bằng công thức từ sheet Test Cases. Không nhập trực tiếp vào ô kết quả.</x:v>
      </x:c>
      <x:c r="C6" s="11"/>
      <x:c r="D6" s="11"/>
      <x:c r="E6" s="11"/>
      <x:c r="F6" s="11"/>
      <x:c r="G6" s="11"/>
      <x:c r="H6" s="16"/>
    </x:row>
    <x:row r="7">
      <x:c r="A7" s="15" t="str">
        <x:v>Newman Pilot</x:v>
      </x:c>
      <x:c r="B7" s="11" t="str">
        <x:v>Lưu kết quả lần chạy pilot thật: 15 requests, 31 assertions, 29 pass, 2 fail. Đây không phải kết quả hoàn chỉnh của 95 case.</x:v>
      </x:c>
      <x:c r="C7" s="11"/>
      <x:c r="D7" s="11"/>
      <x:c r="E7" s="11"/>
      <x:c r="F7" s="11"/>
      <x:c r="G7" s="11"/>
      <x:c r="H7" s="16"/>
    </x:row>
    <x:row r="8">
      <x:c r="A8" s="15" t="str">
        <x:v>Phạm vi</x:v>
      </x:c>
      <x:c r="B8" s="11" t="str">
        <x:v>FR-05 Product listing/search; FR-08 Checkout; FR-15 Product CRUD.</x:v>
      </x:c>
      <x:c r="C8" s="11"/>
      <x:c r="D8" s="11"/>
      <x:c r="E8" s="11"/>
      <x:c r="F8" s="11"/>
      <x:c r="G8" s="11"/>
      <x:c r="H8" s="16"/>
    </x:row>
    <x:row r="9">
      <x:c r="A9" s="18" t="str">
        <x:v>Lưu ý</x:v>
      </x:c>
      <x:c r="B9" s="19" t="str">
        <x:v>Không ghi token, mật khẩu hoặc dữ liệu nhạy cảm vào workbook/bằng chứng công khai.</x:v>
      </x:c>
      <x:c r="C9" s="19"/>
      <x:c r="D9" s="19"/>
      <x:c r="E9" s="19"/>
      <x:c r="F9" s="19"/>
      <x:c r="G9" s="19"/>
      <x:c r="H9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44" hidden="0" customWidth="1"/>
    <x:col min="5" max="5" width="52" hidden="0" customWidth="1"/>
    <x:col min="6" max="6" width="10" hidden="0" customWidth="1"/>
    <x:col min="7" max="7" width="22" hidden="0" customWidth="1"/>
    <x:col min="8" max="8" width="40" hidden="0" customWidth="1"/>
    <x:col min="9" max="9" width="16" hidden="0" customWidth="1"/>
    <x:col min="10" max="10" width="36" hidden="0" customWidth="1"/>
    <x:col min="11" max="11" width="42" hidden="0" customWidth="1"/>
    <x:col min="12" max="12" width="26" hidden="0" customWidth="1"/>
  </x:cols>
  <x:sheetData>
    <x:row r="1">
      <x:c r="A1" s="21" t="str">
        <x:v>ID</x:v>
      </x:c>
      <x:c r="B1" s="22" t="str">
        <x:v>FR</x:v>
      </x:c>
      <x:c r="C1" s="22" t="str">
        <x:v>Nhóm kỹ thuật</x:v>
      </x:c>
      <x:c r="D1" s="22" t="str">
        <x:v>Tóm tắt test case AI đề xuất</x:v>
      </x:c>
      <x:c r="E1" s="22" t="str">
        <x:v>Kỳ vọng / điểm cần audit</x:v>
      </x:c>
      <x:c r="F1" s="22" t="str">
        <x:v>Nguồn</x:v>
      </x:c>
      <x:c r="G1" s="22" t="str">
        <x:v>Nhãn audit</x:v>
      </x:c>
      <x:c r="H1" s="22" t="str">
        <x:v>Giải thích lý do / hiệu chỉnh</x:v>
      </x:c>
      <x:c r="I1" s="22" t="str">
        <x:v>Trạng thái chạy</x:v>
      </x:c>
      <x:c r="J1" s="22" t="str">
        <x:v>Kết quả thực tế</x:v>
      </x:c>
      <x:c r="K1" s="22" t="str">
        <x:v>Bằng chứng</x:v>
      </x:c>
      <x:c r="L1" s="23" t="str">
        <x:v>Ghi chú</x:v>
      </x:c>
    </x:row>
    <x:row r="2">
      <x:c r="A2" s="24" t="str">
        <x:v>DP-FR05-01</x:v>
      </x:c>
      <x:c r="B2" s="25" t="str">
        <x:v>FR-05</x:v>
      </x:c>
      <x:c r="C2" s="25" t="str">
        <x:v>Domain partition</x:v>
      </x:c>
      <x:c r="D2" s="25" t="str">
        <x:v>`search` bị bỏ qua.</x:v>
      </x:c>
      <x:c r="E2" s="25" t="str">
        <x:v>200, JSON array danh sách sản phẩm.</x:v>
      </x:c>
      <x:c r="F2" s="25" t="str">
        <x:v>AI</x:v>
      </x:c>
      <x:c r="G2" s="25" t="str">
        <x:v>VALID (Đúng)</x:v>
      </x:c>
      <x:c r="H2" s="25" t="str">
        <x:v>Phù hợp quy tắc API public: khi tham số `search` trống, mặc định trả về toàn bộ danh sách sản phẩm.</x:v>
      </x:c>
      <x:c r="I2" s="25" t="str">
        <x:v>Chưa chạy</x:v>
      </x:c>
      <x:c r="J2" s="25" t="str"/>
      <x:c r="K2" s="25" t="str"/>
      <x:c r="L2" s="26" t="str"/>
    </x:row>
    <x:row r="3">
      <x:c r="A3" s="24" t="str">
        <x:v>DP-FR05-02</x:v>
      </x:c>
      <x:c r="B3" s="25" t="str">
        <x:v>FR-05</x:v>
      </x:c>
      <x:c r="C3" s="25" t="str">
        <x:v>Domain partition</x:v>
      </x:c>
      <x:c r="D3" s="25" t="str">
        <x:v>`search` tên chính xác.</x:v>
      </x:c>
      <x:c r="E3" s="25" t="str">
        <x:v>Có sản phẩm khớp nếu seed data tồn tại.</x:v>
      </x:c>
      <x:c r="F3" s="25" t="str">
        <x:v>AI</x:v>
      </x:c>
      <x:c r="G3" s="25" t="str">
        <x:v>VALID (Đúng)</x:v>
      </x:c>
      <x:c r="H3" s="25" t="str">
        <x:v>Luồng tìm kiếm cơ bản khớp với đặc tả FR-05.</x:v>
      </x:c>
      <x:c r="I3" s="25" t="str">
        <x:v>Chưa chạy</x:v>
      </x:c>
      <x:c r="J3" s="25" t="str"/>
      <x:c r="K3" s="25" t="str"/>
      <x:c r="L3" s="26" t="str"/>
    </x:row>
    <x:row r="4">
      <x:c r="A4" s="24" t="str">
        <x:v>DP-FR05-03</x:v>
      </x:c>
      <x:c r="B4" s="25" t="str">
        <x:v>FR-05</x:v>
      </x:c>
      <x:c r="C4" s="25" t="str">
        <x:v>Domain partition</x:v>
      </x:c>
      <x:c r="D4" s="25" t="str">
        <x:v>`search` khớp một phần.</x:v>
      </x:c>
      <x:c r="E4" s="25" t="str">
        <x:v>Kết quả khớp hành vi tìm kiếm công bố.</x:v>
      </x:c>
      <x:c r="F4" s="25" t="str">
        <x:v>AI</x:v>
      </x:c>
      <x:c r="G4" s="25" t="str">
        <x:v>VALID (Đúng)</x:v>
      </x:c>
      <x:c r="H4" s="25" t="str">
        <x:v>Đảm bảo tính năng tìm kiếm theo chuỗi con (substring) hoạt động bình thường.</x:v>
      </x:c>
      <x:c r="I4" s="25" t="str">
        <x:v>Chưa chạy</x:v>
      </x:c>
      <x:c r="J4" s="25" t="str"/>
      <x:c r="K4" s="25" t="str"/>
      <x:c r="L4" s="26" t="str"/>
    </x:row>
    <x:row r="5">
      <x:c r="A5" s="24" t="str">
        <x:v>DP-FR05-04</x:v>
      </x:c>
      <x:c r="B5" s="25" t="str">
        <x:v>FR-05</x:v>
      </x:c>
      <x:c r="C5" s="25" t="str">
        <x:v>Domain partition</x:v>
      </x:c>
      <x:c r="D5" s="25" t="str">
        <x:v>`search` khác hoa/thường.</x:v>
      </x:c>
      <x:c r="E5" s="25" t="str">
        <x:v>Ghi nhận quy tắc phân biệt hoa thường.</x:v>
      </x:c>
      <x:c r="F5" s="25" t="str">
        <x:v>AI</x:v>
      </x:c>
      <x:c r="G5" s="25" t="str">
        <x:v>VALID (Đúng)</x:v>
      </x:c>
      <x:c r="H5" s="25" t="str">
        <x:v>Phân vùng biên kiểm thử tính nhạy cảm hoa/thường (Case Sensitivity) của DB query.</x:v>
      </x:c>
      <x:c r="I5" s="25" t="str">
        <x:v>Chưa chạy</x:v>
      </x:c>
      <x:c r="J5" s="25" t="str"/>
      <x:c r="K5" s="25" t="str"/>
      <x:c r="L5" s="26" t="str"/>
    </x:row>
    <x:row r="6">
      <x:c r="A6" s="24" t="str">
        <x:v>DP-FR05-05</x:v>
      </x:c>
      <x:c r="B6" s="25" t="str">
        <x:v>FR-05</x:v>
      </x:c>
      <x:c r="C6" s="25" t="str">
        <x:v>Domain partition</x:v>
      </x:c>
      <x:c r="D6" s="25" t="str">
        <x:v>`search` Unicode/tiếng Việt.</x:v>
      </x:c>
      <x:c r="E6" s="25" t="str">
        <x:v>JSON hợp lệ, không lỗi encoding.</x:v>
      </x:c>
      <x:c r="F6" s="25" t="str">
        <x:v>AI</x:v>
      </x:c>
      <x:c r="G6" s="25" t="str">
        <x:v>VALID (Đúng)</x:v>
      </x:c>
      <x:c r="H6" s="25" t="str">
        <x:v>Phân vùng ký tự đặc biệt/tiếng Việt có dấu, kiểm tra encoding UTF-8.</x:v>
      </x:c>
      <x:c r="I6" s="25" t="str">
        <x:v>Chưa chạy</x:v>
      </x:c>
      <x:c r="J6" s="25" t="str"/>
      <x:c r="K6" s="25" t="str"/>
      <x:c r="L6" s="26" t="str"/>
    </x:row>
    <x:row r="7">
      <x:c r="A7" s="24" t="str">
        <x:v>DP-FR05-06</x:v>
      </x:c>
      <x:c r="B7" s="25" t="str">
        <x:v>FR-05</x:v>
      </x:c>
      <x:c r="C7" s="25" t="str">
        <x:v>Domain partition</x:v>
      </x:c>
      <x:c r="D7" s="25" t="str">
        <x:v>`search` URL-encoded an toàn.</x:v>
      </x:c>
      <x:c r="E7" s="25" t="str">
        <x:v>Giải mã đúng và JSON hợp lệ.</x:v>
      </x:c>
      <x:c r="F7" s="25" t="str">
        <x:v>AI</x:v>
      </x:c>
      <x:c r="G7" s="25" t="str">
        <x:v>VALID (Đúng)</x:v>
      </x:c>
      <x:c r="H7" s="25" t="str">
        <x:v>Kiểm thử khả năng xử lý Query Parameter đã được URL-encode (%20, %26...).</x:v>
      </x:c>
      <x:c r="I7" s="25" t="str">
        <x:v>Chưa chạy</x:v>
      </x:c>
      <x:c r="J7" s="25" t="str"/>
      <x:c r="K7" s="25" t="str"/>
      <x:c r="L7" s="26" t="str"/>
    </x:row>
    <x:row r="8">
      <x:c r="A8" s="24" t="str">
        <x:v>DP-FR05-07</x:v>
      </x:c>
      <x:c r="B8" s="25" t="str">
        <x:v>FR-05</x:v>
      </x:c>
      <x:c r="C8" s="25" t="str">
        <x:v>Domain partition</x:v>
      </x:c>
      <x:c r="D8" s="25" t="str">
        <x:v>`search` rỗng.</x:v>
      </x:c>
      <x:c r="E8" s="25" t="str">
        <x:v>Ghi nhận list toàn bộ hay mảng rỗng; không lỗi.</x:v>
      </x:c>
      <x:c r="F8" s="25" t="str">
        <x:v>AI</x:v>
      </x:c>
      <x:c r="G8" s="25" t="str">
        <x:v>VALID (Đúng)</x:v>
      </x:c>
      <x:c r="H8" s="25" t="str">
        <x:v>Phân vùng giá trị rỗng (`search=`), API cần xử lý an toàn không báo lỗi Server.</x:v>
      </x:c>
      <x:c r="I8" s="25" t="str">
        <x:v>Chưa chạy</x:v>
      </x:c>
      <x:c r="J8" s="25" t="str"/>
      <x:c r="K8" s="25" t="str"/>
      <x:c r="L8" s="26" t="str"/>
    </x:row>
    <x:row r="9">
      <x:c r="A9" s="24" t="str">
        <x:v>DP-FR05-08</x:v>
      </x:c>
      <x:c r="B9" s="25" t="str">
        <x:v>FR-05</x:v>
      </x:c>
      <x:c r="C9" s="25" t="str">
        <x:v>Domain partition</x:v>
      </x:c>
      <x:c r="D9" s="25" t="str">
        <x:v>`search` chỉ khoảng trắng.</x:v>
      </x:c>
      <x:c r="E9" s="25" t="str">
        <x:v>JSON hợp lệ; ghi nhận quy tắc trim.</x:v>
      </x:c>
      <x:c r="F9" s="25" t="str">
        <x:v>AI</x:v>
      </x:c>
      <x:c r="G9" s="25" t="str">
        <x:v>VALID (Đúng)</x:v>
      </x:c>
      <x:c r="H9" s="25" t="str">
        <x:v>Phân vùng biên khoảng trắng, kiểm tra API có trim trước khi query hay không.</x:v>
      </x:c>
      <x:c r="I9" s="25" t="str">
        <x:v>Chưa chạy</x:v>
      </x:c>
      <x:c r="J9" s="25" t="str"/>
      <x:c r="K9" s="25" t="str"/>
      <x:c r="L9" s="26" t="str"/>
    </x:row>
    <x:row r="10">
      <x:c r="A10" s="24" t="str">
        <x:v>DP-FR05-09</x:v>
      </x:c>
      <x:c r="B10" s="25" t="str">
        <x:v>FR-05</x:v>
      </x:c>
      <x:c r="C10" s="25" t="str">
        <x:v>Domain partition</x:v>
      </x:c>
      <x:c r="D10" s="25" t="str">
        <x:v>`search` không khớp.</x:v>
      </x:c>
      <x:c r="E10" s="25" t="str">
        <x:v>JSON array rỗng, không `null`/HTML.</x:v>
      </x:c>
      <x:c r="F10" s="25" t="str">
        <x:v>AI</x:v>
      </x:c>
      <x:c r="G10" s="25" t="str">
        <x:v>VALID (Đúng)</x:v>
      </x:c>
      <x:c r="H10" s="25" t="str">
        <x:v>Đảm bảo trả về mảng rỗng `[]` chuẩn RESTful khi không tìm thấy kết quả.</x:v>
      </x:c>
      <x:c r="I10" s="25" t="str">
        <x:v>Chưa chạy</x:v>
      </x:c>
      <x:c r="J10" s="25" t="str"/>
      <x:c r="K10" s="25" t="str"/>
      <x:c r="L10" s="26" t="str"/>
    </x:row>
    <x:row r="11">
      <x:c r="A11" s="24" t="str">
        <x:v>DP-FR05-10</x:v>
      </x:c>
      <x:c r="B11" s="25" t="str">
        <x:v>FR-05</x:v>
      </x:c>
      <x:c r="C11" s="25" t="str">
        <x:v>Domain partition</x:v>
      </x:c>
      <x:c r="D11" s="25" t="str">
        <x:v>`search` rất dài.</x:v>
      </x:c>
      <x:c r="E11" s="25" t="str">
        <x:v>Xử lý an toàn, không 5xx/timeout bất thường.</x:v>
      </x:c>
      <x:c r="F11" s="25" t="str">
        <x:v>AI</x:v>
      </x:c>
      <x:c r="G11" s="25" t="str">
        <x:v>VALID (Đúng)</x:v>
      </x:c>
      <x:c r="H11" s="25" t="str">
        <x:v>Phân vùng độ dài chuỗi cực đại (Boundary/Stress) để chống tràn bộ nhớ hoặc crash query.</x:v>
      </x:c>
      <x:c r="I11" s="25" t="str">
        <x:v>Chưa chạy</x:v>
      </x:c>
      <x:c r="J11" s="25" t="str"/>
      <x:c r="K11" s="25" t="str"/>
      <x:c r="L11" s="26" t="str"/>
    </x:row>
    <x:row r="12">
      <x:c r="A12" s="24" t="str">
        <x:v>DP-FR08-01</x:v>
      </x:c>
      <x:c r="B12" s="25" t="str">
        <x:v>FR-08</x:v>
      </x:c>
      <x:c r="C12" s="25" t="str">
        <x:v>Domain partition</x:v>
      </x:c>
      <x:c r="D12" s="25" t="str">
        <x:v>`total_amount = 1`.</x:v>
      </x:c>
      <x:c r="E12" s="25" t="str">
        <x:v>Thành công nếu không có minimum khác; ghi rõ quy tắc.</x:v>
      </x:c>
      <x:c r="F12" s="25" t="str">
        <x:v>AI</x:v>
      </x:c>
      <x:c r="G12" s="25" t="str">
        <x:v>VALID (Đúng)</x:v>
      </x:c>
      <x:c r="H12" s="25" t="str">
        <x:v>Biên dưới hợp lệ (Minimum boundary) cho giá trị đơn hàng.</x:v>
      </x:c>
      <x:c r="I12" s="25" t="str">
        <x:v>Chưa chạy</x:v>
      </x:c>
      <x:c r="J12" s="25" t="str"/>
      <x:c r="K12" s="25" t="str"/>
      <x:c r="L12" s="26" t="str"/>
    </x:row>
    <x:row r="13">
      <x:c r="A13" s="24" t="str">
        <x:v>DP-FR08-02</x:v>
      </x:c>
      <x:c r="B13" s="25" t="str">
        <x:v>FR-08</x:v>
      </x:c>
      <x:c r="C13" s="25" t="str">
        <x:v>Domain partition</x:v>
      </x:c>
      <x:c r="D13" s="25" t="str">
        <x:v>`total_amount` hợp lệ thông thường.</x:v>
      </x:c>
      <x:c r="E13" s="25" t="str">
        <x:v>Tạo order, lưu đúng số tiền.</x:v>
      </x:c>
      <x:c r="F13" s="25" t="str">
        <x:v>AI</x:v>
      </x:c>
      <x:c r="G13" s="25" t="str">
        <x:v>VALID (Đúng)</x:v>
      </x:c>
      <x:c r="H13" s="25" t="str">
        <x:v>Happy path phân vùng số tiền hợp lệ nằm trong khoảng cho phép.</x:v>
      </x:c>
      <x:c r="I13" s="25" t="str">
        <x:v>Chưa chạy</x:v>
      </x:c>
      <x:c r="J13" s="25" t="str"/>
      <x:c r="K13" s="25" t="str"/>
      <x:c r="L13" s="26" t="str"/>
    </x:row>
    <x:row r="14">
      <x:c r="A14" s="24" t="str">
        <x:v>DP-FR08-03</x:v>
      </x:c>
      <x:c r="B14" s="25" t="str">
        <x:v>FR-08</x:v>
      </x:c>
      <x:c r="C14" s="25" t="str">
        <x:v>Domain partition</x:v>
      </x:c>
      <x:c r="D14" s="25" t="str">
        <x:v>`total_amount = 0`.</x:v>
      </x:c>
      <x:c r="E14" s="25" t="str">
        <x:v>Mong đợi từ chối, không tạo order.</x:v>
      </x:c>
      <x:c r="F14" s="25" t="str">
        <x:v>AI</x:v>
      </x:c>
      <x:c r="G14" s="25" t="str">
        <x:v>VALID (Đúng)</x:v>
      </x:c>
      <x:c r="H14" s="25" t="str">
        <x:v>Phân vùng biên không hợp lệ (`total_amount &lt;= 0`), API bắt buộc phải reject.</x:v>
      </x:c>
      <x:c r="I14" s="25" t="str">
        <x:v>Chưa chạy</x:v>
      </x:c>
      <x:c r="J14" s="25" t="str"/>
      <x:c r="K14" s="25" t="str"/>
      <x:c r="L14" s="26" t="str"/>
    </x:row>
    <x:row r="15">
      <x:c r="A15" s="24" t="str">
        <x:v>DP-FR08-04</x:v>
      </x:c>
      <x:c r="B15" s="25" t="str">
        <x:v>FR-08</x:v>
      </x:c>
      <x:c r="C15" s="25" t="str">
        <x:v>Domain partition</x:v>
      </x:c>
      <x:c r="D15" s="25" t="str">
        <x:v>`total_amount` âm.</x:v>
      </x:c>
      <x:c r="E15" s="25" t="str">
        <x:v>Mong đợi từ chối, không tạo order.</x:v>
      </x:c>
      <x:c r="F15" s="25" t="str">
        <x:v>AI</x:v>
      </x:c>
      <x:c r="G15" s="25" t="str">
        <x:v>VALID (Đúng)</x:v>
      </x:c>
      <x:c r="H15" s="25" t="str">
        <x:v>Phân vùng số âm không hợp lệ cho giá trị giao dịch.</x:v>
      </x:c>
      <x:c r="I15" s="25" t="str">
        <x:v>Chưa chạy</x:v>
      </x:c>
      <x:c r="J15" s="25" t="str"/>
      <x:c r="K15" s="25" t="str"/>
      <x:c r="L15" s="26" t="str"/>
    </x:row>
    <x:row r="16">
      <x:c r="A16" s="24" t="str">
        <x:v>DP-FR08-05</x:v>
      </x:c>
      <x:c r="B16" s="25" t="str">
        <x:v>FR-08</x:v>
      </x:c>
      <x:c r="C16" s="25" t="str">
        <x:v>Domain partition</x:v>
      </x:c>
      <x:c r="D16" s="25" t="str">
        <x:v>`total_amount` thập phân.</x:v>
      </x:c>
      <x:c r="E16" s="25" t="str">
        <x:v>Từ chối/xử lý theo quy tắc tiền tệ, không làm tròn âm thầm.</x:v>
      </x:c>
      <x:c r="F16" s="25" t="str">
        <x:v>AI</x:v>
      </x:c>
      <x:c r="G16" s="25" t="str">
        <x:v>VALID (Đúng)</x:v>
      </x:c>
      <x:c r="H16" s="25" t="str">
        <x:v>Kiểm thử kiểu dữ liệu số thực/thập phân đối với đơn vị tiền tệ VND/USD.</x:v>
      </x:c>
      <x:c r="I16" s="25" t="str">
        <x:v>Chưa chạy</x:v>
      </x:c>
      <x:c r="J16" s="25" t="str"/>
      <x:c r="K16" s="25" t="str"/>
      <x:c r="L16" s="26" t="str"/>
    </x:row>
    <x:row r="17">
      <x:c r="A17" s="24" t="str">
        <x:v>DP-FR08-06</x:v>
      </x:c>
      <x:c r="B17" s="25" t="str">
        <x:v>FR-08</x:v>
      </x:c>
      <x:c r="C17" s="25" t="str">
        <x:v>Domain partition</x:v>
      </x:c>
      <x:c r="D17" s="25" t="str">
        <x:v>`total_amount` thiếu/null/sai kiểu.</x:v>
      </x:c>
      <x:c r="E17" s="25" t="str">
        <x:v>JSON error, không tạo order.</x:v>
      </x:c>
      <x:c r="F17" s="25" t="str">
        <x:v>AI</x:v>
      </x:c>
      <x:c r="G17" s="25" t="str">
        <x:v>INCOMPLETE (Thiếu)</x:v>
      </x:c>
      <x:c r="H17" s="25" t="str">
        <x:v>Thiếu thông tin:** Cần chỉ rõ HTTP Status trả về phải là `400 Bad Request` dạng JSON.</x:v>
      </x:c>
      <x:c r="I17" s="25" t="str">
        <x:v>Chưa chạy</x:v>
      </x:c>
      <x:c r="J17" s="25" t="str"/>
      <x:c r="K17" s="25" t="str"/>
      <x:c r="L17" s="26" t="str"/>
    </x:row>
    <x:row r="18">
      <x:c r="A18" s="24" t="str">
        <x:v>DP-FR08-07</x:v>
      </x:c>
      <x:c r="B18" s="25" t="str">
        <x:v>FR-08</x:v>
      </x:c>
      <x:c r="C18" s="25" t="str">
        <x:v>Domain partition</x:v>
      </x:c>
      <x:c r="D18" s="25" t="str">
        <x:v>`shipping_address` thông thường.</x:v>
      </x:c>
      <x:c r="E18" s="25" t="str">
        <x:v>Thành công, lưu đúng địa chỉ.</x:v>
      </x:c>
      <x:c r="F18" s="25" t="str">
        <x:v>AI</x:v>
      </x:c>
      <x:c r="G18" s="25" t="str">
        <x:v>VALID (Đúng)</x:v>
      </x:c>
      <x:c r="H18" s="25" t="str">
        <x:v>Phân vùng chuỗi địa chỉ hợp lệ cho luồng Checkout.</x:v>
      </x:c>
      <x:c r="I18" s="25" t="str">
        <x:v>Chưa chạy</x:v>
      </x:c>
      <x:c r="J18" s="25" t="str"/>
      <x:c r="K18" s="25" t="str"/>
      <x:c r="L18" s="26" t="str"/>
    </x:row>
    <x:row r="19">
      <x:c r="A19" s="24" t="str">
        <x:v>DP-FR08-08</x:v>
      </x:c>
      <x:c r="B19" s="25" t="str">
        <x:v>FR-08</x:v>
      </x:c>
      <x:c r="C19" s="25" t="str">
        <x:v>Domain partition</x:v>
      </x:c>
      <x:c r="D19" s="25" t="str">
        <x:v>`shipping_address` Unicode.</x:v>
      </x:c>
      <x:c r="E19" s="25" t="str">
        <x:v>Thành công, không lỗi encoding.</x:v>
      </x:c>
      <x:c r="F19" s="25" t="str">
        <x:v>AI</x:v>
      </x:c>
      <x:c r="G19" s="25" t="str">
        <x:v>VALID (Đúng)</x:v>
      </x:c>
      <x:c r="H19" s="25" t="str">
        <x:v>Kiểm thử địa chỉ chứa ký tự UTF-8 (tiếng Việt có dấu).</x:v>
      </x:c>
      <x:c r="I19" s="25" t="str">
        <x:v>Chưa chạy</x:v>
      </x:c>
      <x:c r="J19" s="25" t="str"/>
      <x:c r="K19" s="25" t="str"/>
      <x:c r="L19" s="26" t="str"/>
    </x:row>
    <x:row r="20">
      <x:c r="A20" s="24" t="str">
        <x:v>DP-FR08-09</x:v>
      </x:c>
      <x:c r="B20" s="25" t="str">
        <x:v>FR-08</x:v>
      </x:c>
      <x:c r="C20" s="25" t="str">
        <x:v>Domain partition</x:v>
      </x:c>
      <x:c r="D20" s="25" t="str">
        <x:v>`shipping_address` rỗng.</x:v>
      </x:c>
      <x:c r="E20" s="25" t="str">
        <x:v>Mong đợi từ chối, không tạo order.</x:v>
      </x:c>
      <x:c r="F20" s="25" t="str">
        <x:v>AI</x:v>
      </x:c>
      <x:c r="G20" s="25" t="str">
        <x:v>VALID (Đúng)</x:v>
      </x:c>
      <x:c r="H20" s="25" t="str">
        <x:v>Phân vùng trường bắt buộc (Required field) bị bỏ rỗng.</x:v>
      </x:c>
      <x:c r="I20" s="25" t="str">
        <x:v>Chưa chạy</x:v>
      </x:c>
      <x:c r="J20" s="25" t="str"/>
      <x:c r="K20" s="25" t="str"/>
      <x:c r="L20" s="26" t="str"/>
    </x:row>
    <x:row r="21">
      <x:c r="A21" s="24" t="str">
        <x:v>DP-FR08-10</x:v>
      </x:c>
      <x:c r="B21" s="25" t="str">
        <x:v>FR-08</x:v>
      </x:c>
      <x:c r="C21" s="25" t="str">
        <x:v>Domain partition</x:v>
      </x:c>
      <x:c r="D21" s="25" t="str">
        <x:v>`shipping_address` chỉ khoảng trắng.</x:v>
      </x:c>
      <x:c r="E21" s="25" t="str">
        <x:v>Mong đợi trim rồi từ chối.</x:v>
      </x:c>
      <x:c r="F21" s="25" t="str">
        <x:v>AI</x:v>
      </x:c>
      <x:c r="G21" s="25" t="str">
        <x:v>VALID (Đúng)</x:v>
      </x:c>
      <x:c r="H21" s="25" t="str">
        <x:v>Phân vùng chuỗi toàn khoảng trắng cho trường địa chỉ bắt buộc.</x:v>
      </x:c>
      <x:c r="I21" s="25" t="str">
        <x:v>Chưa chạy</x:v>
      </x:c>
      <x:c r="J21" s="25" t="str"/>
      <x:c r="K21" s="25" t="str"/>
      <x:c r="L21" s="26" t="str"/>
    </x:row>
    <x:row r="22">
      <x:c r="A22" s="24" t="str">
        <x:v>DP-FR08-11</x:v>
      </x:c>
      <x:c r="B22" s="25" t="str">
        <x:v>FR-08</x:v>
      </x:c>
      <x:c r="C22" s="25" t="str">
        <x:v>Domain partition</x:v>
      </x:c>
      <x:c r="D22" s="25" t="str">
        <x:v>`shipping_address` thiếu/null.</x:v>
      </x:c>
      <x:c r="E22" s="25" t="str">
        <x:v>JSON error, không tạo order.</x:v>
      </x:c>
      <x:c r="F22" s="25" t="str">
        <x:v>AI</x:v>
      </x:c>
      <x:c r="G22" s="25" t="str">
        <x:v>INCOMPLETE (Thiếu)</x:v>
      </x:c>
      <x:c r="H22" s="25" t="str">
        <x:v>Thiếu thông tin:** Bổ sung kỳ vọng HTTP `400 Bad Request` và phản hồi dạng JSON error.</x:v>
      </x:c>
      <x:c r="I22" s="25" t="str">
        <x:v>Chưa chạy</x:v>
      </x:c>
      <x:c r="J22" s="25" t="str"/>
      <x:c r="K22" s="25" t="str"/>
      <x:c r="L22" s="26" t="str"/>
    </x:row>
    <x:row r="23">
      <x:c r="A23" s="24" t="str">
        <x:v>DP-FR08-12</x:v>
      </x:c>
      <x:c r="B23" s="25" t="str">
        <x:v>FR-08</x:v>
      </x:c>
      <x:c r="C23" s="25" t="str">
        <x:v>Domain partition</x:v>
      </x:c>
      <x:c r="D23" s="25" t="str">
        <x:v>`shipping_address` sai kiểu/rất dài.</x:v>
      </x:c>
      <x:c r="E23" s="25" t="str">
        <x:v>Xử lý an toàn, không 5xx/không tạo order sai.</x:v>
      </x:c>
      <x:c r="F23" s="25" t="str">
        <x:v>AI</x:v>
      </x:c>
      <x:c r="G23" s="25" t="str">
        <x:v>VALID (Đúng)</x:v>
      </x:c>
      <x:c r="H23" s="25" t="str">
        <x:v>Kiểm thử robustness khi gửi sai type (e.g. number/array) hoặc chuỗi cực dài.</x:v>
      </x:c>
      <x:c r="I23" s="25" t="str">
        <x:v>Chưa chạy</x:v>
      </x:c>
      <x:c r="J23" s="25" t="str"/>
      <x:c r="K23" s="25" t="str"/>
      <x:c r="L23" s="26" t="str"/>
    </x:row>
    <x:row r="24">
      <x:c r="A24" s="24" t="str">
        <x:v>DP-FR15-01</x:v>
      </x:c>
      <x:c r="B24" s="25" t="str">
        <x:v>FR-15</x:v>
      </x:c>
      <x:c r="C24" s="25" t="str">
        <x:v>Domain partition</x:v>
      </x:c>
      <x:c r="D24" s="25" t="str">
        <x:v>`name` hợp lệ thông thường.</x:v>
      </x:c>
      <x:c r="E24" s="25" t="str">
        <x:v>Admin tạo product, response có ID.</x:v>
      </x:c>
      <x:c r="F24" s="25" t="str">
        <x:v>AI</x:v>
      </x:c>
      <x:c r="G24" s="25" t="str">
        <x:v>VALID (Đúng)</x:v>
      </x:c>
      <x:c r="H24" s="25" t="str">
        <x:v>Happy path tạo sản phẩm với tên đúng quy cách.</x:v>
      </x:c>
      <x:c r="I24" s="25" t="str">
        <x:v>Chưa chạy</x:v>
      </x:c>
      <x:c r="J24" s="25" t="str"/>
      <x:c r="K24" s="25" t="str"/>
      <x:c r="L24" s="26" t="str"/>
    </x:row>
    <x:row r="25">
      <x:c r="A25" s="24" t="str">
        <x:v>DP-FR15-02</x:v>
      </x:c>
      <x:c r="B25" s="25" t="str">
        <x:v>FR-15</x:v>
      </x:c>
      <x:c r="C25" s="25" t="str">
        <x:v>Domain partition</x:v>
      </x:c>
      <x:c r="D25" s="25" t="str">
        <x:v>`name` Unicode/1 ký tự.</x:v>
      </x:c>
      <x:c r="E25" s="25" t="str">
        <x:v>Lưu/đọc đúng encoding.</x:v>
      </x:c>
      <x:c r="F25" s="25" t="str">
        <x:v>AI</x:v>
      </x:c>
      <x:c r="G25" s="25" t="str">
        <x:v>VALID (Đúng)</x:v>
      </x:c>
      <x:c r="H25" s="25" t="str">
        <x:v>Phân vùng biên ký tự tối thiểu và ký tự đặc biệt tiếng Việt.</x:v>
      </x:c>
      <x:c r="I25" s="25" t="str">
        <x:v>Chưa chạy</x:v>
      </x:c>
      <x:c r="J25" s="25" t="str"/>
      <x:c r="K25" s="25" t="str"/>
      <x:c r="L25" s="26" t="str"/>
    </x:row>
    <x:row r="26">
      <x:c r="A26" s="24" t="str">
        <x:v>DP-FR15-03</x:v>
      </x:c>
      <x:c r="B26" s="25" t="str">
        <x:v>FR-15</x:v>
      </x:c>
      <x:c r="C26" s="25" t="str">
        <x:v>Domain partition</x:v>
      </x:c>
      <x:c r="D26" s="25" t="str">
        <x:v>`name` rỗng/chỉ khoảng trắng.</x:v>
      </x:c>
      <x:c r="E26" s="25" t="str">
        <x:v>Mong đợi từ chối, không tạo sản phẩm.</x:v>
      </x:c>
      <x:c r="F26" s="25" t="str">
        <x:v>AI</x:v>
      </x:c>
      <x:c r="G26" s="25" t="str">
        <x:v>VALID (Đúng)</x:v>
      </x:c>
      <x:c r="H26" s="25" t="str">
        <x:v>Tên sản phẩm là bắt buộc, không chấp nhận chuỗi rỗng/space.</x:v>
      </x:c>
      <x:c r="I26" s="25" t="str">
        <x:v>Chưa chạy</x:v>
      </x:c>
      <x:c r="J26" s="25" t="str"/>
      <x:c r="K26" s="25" t="str"/>
      <x:c r="L26" s="26" t="str"/>
    </x:row>
    <x:row r="27">
      <x:c r="A27" s="24" t="str">
        <x:v>DP-FR15-04</x:v>
      </x:c>
      <x:c r="B27" s="25" t="str">
        <x:v>FR-15</x:v>
      </x:c>
      <x:c r="C27" s="25" t="str">
        <x:v>Domain partition</x:v>
      </x:c>
      <x:c r="D27" s="25" t="str">
        <x:v>`name` thiếu/null/sai kiểu.</x:v>
      </x:c>
      <x:c r="E27" s="25" t="str">
        <x:v>Từ chối an toàn, không tạo sản phẩm.</x:v>
      </x:c>
      <x:c r="F27" s="25" t="str">
        <x:v>AI</x:v>
      </x:c>
      <x:c r="G27" s="25" t="str">
        <x:v>INCOMPLETE (Thiếu)</x:v>
      </x:c>
      <x:c r="H27" s="25" t="str">
        <x:v>Thiếu thông tin:** Cần khẳng định phải từ chối với HTTP Status `400 Bad Request`.</x:v>
      </x:c>
      <x:c r="I27" s="25" t="str">
        <x:v>Chưa chạy</x:v>
      </x:c>
      <x:c r="J27" s="25" t="str"/>
      <x:c r="K27" s="25" t="str"/>
      <x:c r="L27" s="26" t="str"/>
    </x:row>
    <x:row r="28">
      <x:c r="A28" s="24" t="str">
        <x:v>DP-FR15-05</x:v>
      </x:c>
      <x:c r="B28" s="25" t="str">
        <x:v>FR-15</x:v>
      </x:c>
      <x:c r="C28" s="25" t="str">
        <x:v>Domain partition</x:v>
      </x:c>
      <x:c r="D28" s="25" t="str">
        <x:v>`name` rất dài.</x:v>
      </x:c>
      <x:c r="E28" s="25" t="str">
        <x:v>Từ chối theo giới hạn/lưu an toàn, không 5xx.</x:v>
      </x:c>
      <x:c r="F28" s="25" t="str">
        <x:v>AI</x:v>
      </x:c>
      <x:c r="G28" s="25" t="str">
        <x:v>VALID (Đúng)</x:v>
      </x:c>
      <x:c r="H28" s="25" t="str">
        <x:v>Phân vùng độ dài tên cực đại để tránh đệm dữ liệu DB (Data truncation).</x:v>
      </x:c>
      <x:c r="I28" s="25" t="str">
        <x:v>Chưa chạy</x:v>
      </x:c>
      <x:c r="J28" s="25" t="str"/>
      <x:c r="K28" s="25" t="str"/>
      <x:c r="L28" s="26" t="str"/>
    </x:row>
    <x:row r="29">
      <x:c r="A29" s="24" t="str">
        <x:v>DP-FR15-06</x:v>
      </x:c>
      <x:c r="B29" s="25" t="str">
        <x:v>FR-15</x:v>
      </x:c>
      <x:c r="C29" s="25" t="str">
        <x:v>Domain partition</x:v>
      </x:c>
      <x:c r="D29" s="25" t="str">
        <x:v>`price = 1`.</x:v>
      </x:c>
      <x:c r="E29" s="25" t="str">
        <x:v>Thành công nếu áp dụng `price &gt; 0`.</x:v>
      </x:c>
      <x:c r="F29" s="25" t="str">
        <x:v>AI</x:v>
      </x:c>
      <x:c r="G29" s="25" t="str">
        <x:v>VALID (Đúng)</x:v>
      </x:c>
      <x:c r="H29" s="25" t="str">
        <x:v>Phân vùng giá trị biên dương nhỏ nhất của giá sản phẩm.</x:v>
      </x:c>
      <x:c r="I29" s="25" t="str">
        <x:v>Chưa chạy</x:v>
      </x:c>
      <x:c r="J29" s="25" t="str"/>
      <x:c r="K29" s="25" t="str"/>
      <x:c r="L29" s="26" t="str"/>
    </x:row>
    <x:row r="30">
      <x:c r="A30" s="24" t="str">
        <x:v>DP-FR15-07</x:v>
      </x:c>
      <x:c r="B30" s="25" t="str">
        <x:v>FR-15</x:v>
      </x:c>
      <x:c r="C30" s="25" t="str">
        <x:v>Domain partition</x:v>
      </x:c>
      <x:c r="D30" s="25" t="str">
        <x:v>`price` hợp lệ thông thường.</x:v>
      </x:c>
      <x:c r="E30" s="25" t="str">
        <x:v>Giá được lưu/đọc đúng.</x:v>
      </x:c>
      <x:c r="F30" s="25" t="str">
        <x:v>AI</x:v>
      </x:c>
      <x:c r="G30" s="25" t="str">
        <x:v>VALID (Đúng)</x:v>
      </x:c>
      <x:c r="H30" s="25" t="str">
        <x:v>Phân vùng giá trị dương hợp lệ của sản phẩm.</x:v>
      </x:c>
      <x:c r="I30" s="25" t="str">
        <x:v>Chưa chạy</x:v>
      </x:c>
      <x:c r="J30" s="25" t="str"/>
      <x:c r="K30" s="25" t="str"/>
      <x:c r="L30" s="26" t="str"/>
    </x:row>
    <x:row r="31">
      <x:c r="A31" s="24" t="str">
        <x:v>DP-FR15-08</x:v>
      </x:c>
      <x:c r="B31" s="25" t="str">
        <x:v>FR-15</x:v>
      </x:c>
      <x:c r="C31" s="25" t="str">
        <x:v>Domain partition</x:v>
      </x:c>
      <x:c r="D31" s="25" t="str">
        <x:v>`price = 0`.</x:v>
      </x:c>
      <x:c r="E31" s="25" t="str">
        <x:v>Theo `price &gt; 0`: từ chối, không đổi dữ liệu.</x:v>
      </x:c>
      <x:c r="F31" s="25" t="str">
        <x:v>AI</x:v>
      </x:c>
      <x:c r="G31" s="25" t="str">
        <x:v>VALID (Đúng)</x:v>
      </x:c>
      <x:c r="H31" s="25" t="str">
        <x:v>Phân vùng giá trị bằng 0 (vi phạm quy tắc `price &gt; 0`).</x:v>
      </x:c>
      <x:c r="I31" s="25" t="str">
        <x:v>Chưa chạy</x:v>
      </x:c>
      <x:c r="J31" s="25" t="str"/>
      <x:c r="K31" s="25" t="str"/>
      <x:c r="L31" s="26" t="str"/>
    </x:row>
    <x:row r="32">
      <x:c r="A32" s="24" t="str">
        <x:v>DP-FR15-09</x:v>
      </x:c>
      <x:c r="B32" s="25" t="str">
        <x:v>FR-15</x:v>
      </x:c>
      <x:c r="C32" s="25" t="str">
        <x:v>Domain partition</x:v>
      </x:c>
      <x:c r="D32" s="25" t="str">
        <x:v>`price` âm.</x:v>
      </x:c>
      <x:c r="E32" s="25" t="str">
        <x:v>Theo `price &gt; 0`: từ chối, không đổi dữ liệu.</x:v>
      </x:c>
      <x:c r="F32" s="25" t="str">
        <x:v>AI</x:v>
      </x:c>
      <x:c r="G32" s="25" t="str">
        <x:v>VALID (Đúng)</x:v>
      </x:c>
      <x:c r="H32" s="25" t="str">
        <x:v>Phân vùng số âm không hợp lệ cho giá sản phẩm.</x:v>
      </x:c>
      <x:c r="I32" s="25" t="str">
        <x:v>Chưa chạy</x:v>
      </x:c>
      <x:c r="J32" s="25" t="str"/>
      <x:c r="K32" s="25" t="str"/>
      <x:c r="L32" s="26" t="str"/>
    </x:row>
    <x:row r="33">
      <x:c r="A33" s="24" t="str">
        <x:v>DP-FR15-10</x:v>
      </x:c>
      <x:c r="B33" s="25" t="str">
        <x:v>FR-15</x:v>
      </x:c>
      <x:c r="C33" s="25" t="str">
        <x:v>Domain partition</x:v>
      </x:c>
      <x:c r="D33" s="25" t="str">
        <x:v>`price` thập phân.</x:v>
      </x:c>
      <x:c r="E33" s="25" t="str">
        <x:v>Từ chối/xử lý theo quy tắc tiền tệ công bố.</x:v>
      </x:c>
      <x:c r="F33" s="25" t="str">
        <x:v>AI</x:v>
      </x:c>
      <x:c r="G33" s="25" t="str">
        <x:v>VALID (Đúng)</x:v>
      </x:c>
      <x:c r="H33" s="25" t="str">
        <x:v>Kiểm thử nhập số thực vào trường giá sản phẩm.</x:v>
      </x:c>
      <x:c r="I33" s="25" t="str">
        <x:v>Chưa chạy</x:v>
      </x:c>
      <x:c r="J33" s="25" t="str"/>
      <x:c r="K33" s="25" t="str"/>
      <x:c r="L33" s="26" t="str"/>
    </x:row>
    <x:row r="34">
      <x:c r="A34" s="24" t="str">
        <x:v>DP-FR15-11</x:v>
      </x:c>
      <x:c r="B34" s="25" t="str">
        <x:v>FR-15</x:v>
      </x:c>
      <x:c r="C34" s="25" t="str">
        <x:v>Domain partition</x:v>
      </x:c>
      <x:c r="D34" s="25" t="str">
        <x:v>`price` thiếu/null/sai kiểu.</x:v>
      </x:c>
      <x:c r="E34" s="25" t="str">
        <x:v>Từ chối an toàn, không tạo/cập nhật dữ liệu sai.</x:v>
      </x:c>
      <x:c r="F34" s="25" t="str">
        <x:v>AI</x:v>
      </x:c>
      <x:c r="G34" s="25" t="str">
        <x:v>INCOMPLETE (Thiếu)</x:v>
      </x:c>
      <x:c r="H34" s="25" t="str">
        <x:v>Thiếu thông tin:** Cần bổ sung khẳng định trả về HTTP Status `400 Bad Request`.</x:v>
      </x:c>
      <x:c r="I34" s="25" t="str">
        <x:v>Chưa chạy</x:v>
      </x:c>
      <x:c r="J34" s="25" t="str"/>
      <x:c r="K34" s="25" t="str"/>
      <x:c r="L34" s="26" t="str"/>
    </x:row>
    <x:row r="35">
      <x:c r="A35" s="24" t="str">
        <x:v>DP-FR15-12</x:v>
      </x:c>
      <x:c r="B35" s="25" t="str">
        <x:v>FR-15</x:v>
      </x:c>
      <x:c r="C35" s="25" t="str">
        <x:v>Domain partition</x:v>
      </x:c>
      <x:c r="D35" s="25" t="str">
        <x:v>`description` rỗng/Unicode.</x:v>
      </x:c>
      <x:c r="E35" s="25" t="str">
        <x:v>Xác nhận tùy chọn/bắt buộc; JSON hợp lệ.</x:v>
      </x:c>
      <x:c r="F35" s="25" t="str">
        <x:v>AI</x:v>
      </x:c>
      <x:c r="G35" s="25" t="str">
        <x:v>VALID (Đúng)</x:v>
      </x:c>
      <x:c r="H35" s="25" t="str">
        <x:v>Phân vùng dữ liệu mô tả sản phẩm (Optional text field).</x:v>
      </x:c>
      <x:c r="I35" s="25" t="str">
        <x:v>Chưa chạy</x:v>
      </x:c>
      <x:c r="J35" s="25" t="str"/>
      <x:c r="K35" s="25" t="str"/>
      <x:c r="L35" s="26" t="str"/>
    </x:row>
    <x:row r="36">
      <x:c r="A36" s="24" t="str">
        <x:v>DP-FR15-13</x:v>
      </x:c>
      <x:c r="B36" s="25" t="str">
        <x:v>FR-15</x:v>
      </x:c>
      <x:c r="C36" s="25" t="str">
        <x:v>Domain partition</x:v>
      </x:c>
      <x:c r="D36" s="25" t="str">
        <x:v>`description` null/sai kiểu/rất dài.</x:v>
      </x:c>
      <x:c r="E36" s="25" t="str">
        <x:v>Validate/lưu an toàn, không 5xx.</x:v>
      </x:c>
      <x:c r="F36" s="25" t="str">
        <x:v>AI</x:v>
      </x:c>
      <x:c r="G36" s="25" t="str">
        <x:v>VALID (Đúng)</x:v>
      </x:c>
      <x:c r="H36" s="25" t="str">
        <x:v>Phân vùng biên độ dài và sai kiểu dữ liệu cho mô tả.</x:v>
      </x:c>
      <x:c r="I36" s="25" t="str">
        <x:v>Chưa chạy</x:v>
      </x:c>
      <x:c r="J36" s="25" t="str"/>
      <x:c r="K36" s="25" t="str"/>
      <x:c r="L36" s="26" t="str"/>
    </x:row>
    <x:row r="37">
      <x:c r="A37" s="24" t="str">
        <x:v>DP-FR15-14</x:v>
      </x:c>
      <x:c r="B37" s="25" t="str">
        <x:v>FR-15</x:v>
      </x:c>
      <x:c r="C37" s="25" t="str">
        <x:v>Domain partition</x:v>
      </x:c>
      <x:c r="D37" s="25" t="str">
        <x:v>`imageUrl` HTTP/HTTPS hợp lệ.</x:v>
      </x:c>
      <x:c r="E37" s="25" t="str">
        <x:v>Sản phẩm lưu đúng URL.</x:v>
      </x:c>
      <x:c r="F37" s="25" t="str">
        <x:v>AI</x:v>
      </x:c>
      <x:c r="G37" s="25" t="str">
        <x:v>VALID (Đúng)</x:v>
      </x:c>
      <x:c r="H37" s="25" t="str">
        <x:v>Phân vùng đường dẫn hình ảnh hợp lệ.</x:v>
      </x:c>
      <x:c r="I37" s="25" t="str">
        <x:v>Chưa chạy</x:v>
      </x:c>
      <x:c r="J37" s="25" t="str"/>
      <x:c r="K37" s="25" t="str"/>
      <x:c r="L37" s="26" t="str"/>
    </x:row>
    <x:row r="38">
      <x:c r="A38" s="24" t="str">
        <x:v>DP-FR15-15</x:v>
      </x:c>
      <x:c r="B38" s="25" t="str">
        <x:v>FR-15</x:v>
      </x:c>
      <x:c r="C38" s="25" t="str">
        <x:v>Domain partition</x:v>
      </x:c>
      <x:c r="D38" s="25" t="str">
        <x:v>`imageUrl` rỗng/sai định dạng.</x:v>
      </x:c>
      <x:c r="E38" s="25" t="str">
        <x:v>Áp dụng chính sách URL, không tạo dữ liệu nguy hiểm.</x:v>
      </x:c>
      <x:c r="F38" s="25" t="str">
        <x:v>AI</x:v>
      </x:c>
      <x:c r="G38" s="25" t="str">
        <x:v>VALID (Đúng)</x:v>
      </x:c>
      <x:c r="H38" s="25" t="str">
        <x:v>Phân vùng định dạng URL không hợp lệ (Invalid URL format).</x:v>
      </x:c>
      <x:c r="I38" s="25" t="str">
        <x:v>Chưa chạy</x:v>
      </x:c>
      <x:c r="J38" s="25" t="str"/>
      <x:c r="K38" s="25" t="str"/>
      <x:c r="L38" s="26" t="str"/>
    </x:row>
    <x:row r="39">
      <x:c r="A39" s="24" t="str">
        <x:v>DP-FR15-16</x:v>
      </x:c>
      <x:c r="B39" s="25" t="str">
        <x:v>FR-15</x:v>
      </x:c>
      <x:c r="C39" s="25" t="str">
        <x:v>Domain partition</x:v>
      </x:c>
      <x:c r="D39" s="25" t="str">
        <x:v>`category_id` tồn tại.</x:v>
      </x:c>
      <x:c r="E39" s="25" t="str">
        <x:v>Liên kết đúng category.</x:v>
      </x:c>
      <x:c r="F39" s="25" t="str">
        <x:v>AI</x:v>
      </x:c>
      <x:c r="G39" s="25" t="str">
        <x:v>VALID (Đúng)</x:v>
      </x:c>
      <x:c r="H39" s="25" t="str">
        <x:v>Kiểm thử khóa ngoại (Foreign key) đến danh mục hợp lệ.</x:v>
      </x:c>
      <x:c r="I39" s="25" t="str">
        <x:v>Chưa chạy</x:v>
      </x:c>
      <x:c r="J39" s="25" t="str"/>
      <x:c r="K39" s="25" t="str"/>
      <x:c r="L39" s="26" t="str"/>
    </x:row>
    <x:row r="40">
      <x:c r="A40" s="24" t="str">
        <x:v>DP-FR15-17</x:v>
      </x:c>
      <x:c r="B40" s="25" t="str">
        <x:v>FR-15</x:v>
      </x:c>
      <x:c r="C40" s="25" t="str">
        <x:v>Domain partition</x:v>
      </x:c>
      <x:c r="D40" s="25" t="str">
        <x:v>`category_id` 0/âm/không tồn tại.</x:v>
      </x:c>
      <x:c r="E40" s="25" t="str">
        <x:v>Mong đợi từ chối, không tạo/cập nhật.</x:v>
      </x:c>
      <x:c r="F40" s="25" t="str">
        <x:v>AI</x:v>
      </x:c>
      <x:c r="G40" s="25" t="str">
        <x:v>VALID (Đúng)</x:v>
      </x:c>
      <x:c r="H40" s="25" t="str">
        <x:v>Phân vùng khóa ngoại không tồn tại hoặc không hợp lệ.</x:v>
      </x:c>
      <x:c r="I40" s="25" t="str">
        <x:v>Chưa chạy</x:v>
      </x:c>
      <x:c r="J40" s="25" t="str"/>
      <x:c r="K40" s="25" t="str"/>
      <x:c r="L40" s="26" t="str"/>
    </x:row>
    <x:row r="41">
      <x:c r="A41" s="24" t="str">
        <x:v>DP-FR15-18</x:v>
      </x:c>
      <x:c r="B41" s="25" t="str">
        <x:v>FR-15</x:v>
      </x:c>
      <x:c r="C41" s="25" t="str">
        <x:v>Domain partition</x:v>
      </x:c>
      <x:c r="D41" s="25" t="str">
        <x:v>`category_id` sai kiểu.</x:v>
      </x:c>
      <x:c r="E41" s="25" t="str">
        <x:v>Từ chối an toàn, không tạo/cập nhật.</x:v>
      </x:c>
      <x:c r="F41" s="25" t="str">
        <x:v>AI</x:v>
      </x:c>
      <x:c r="G41" s="25" t="str">
        <x:v>INCOMPLETE (Thiếu)</x:v>
      </x:c>
      <x:c r="H41" s="25" t="str">
        <x:v>Thiếu thông tin:** Chỉ rõ HTTP `400 Bad Request` khi gửi sai kiểu dữ liệu (vd: string thay vì integer).</x:v>
      </x:c>
      <x:c r="I41" s="25" t="str">
        <x:v>Chưa chạy</x:v>
      </x:c>
      <x:c r="J41" s="25" t="str"/>
      <x:c r="K41" s="25" t="str"/>
      <x:c r="L41" s="26" t="str"/>
    </x:row>
    <x:row r="42">
      <x:c r="A42" s="24" t="str">
        <x:v>DP-FR15-19</x:v>
      </x:c>
      <x:c r="B42" s="25" t="str">
        <x:v>FR-15</x:v>
      </x:c>
      <x:c r="C42" s="25" t="str">
        <x:v>Domain partition</x:v>
      </x:c>
      <x:c r="D42" s="25" t="str">
        <x:v>Path `id` tồn tại.</x:v>
      </x:c>
      <x:c r="E42" s="25" t="str">
        <x:v>PUT/DELETE chỉ tác động sản phẩm mục tiêu.</x:v>
      </x:c>
      <x:c r="F42" s="25" t="str">
        <x:v>AI</x:v>
      </x:c>
      <x:c r="G42" s="25" t="str">
        <x:v>VALID (Đúng)</x:v>
      </x:c>
      <x:c r="H42" s="25" t="str">
        <x:v>Kiểm thử đường dẫn tài nguyên tồn tại trên hệ thống.</x:v>
      </x:c>
      <x:c r="I42" s="25" t="str">
        <x:v>Chưa chạy</x:v>
      </x:c>
      <x:c r="J42" s="25" t="str"/>
      <x:c r="K42" s="25" t="str"/>
      <x:c r="L42" s="26" t="str"/>
    </x:row>
    <x:row r="43">
      <x:c r="A43" s="24" t="str">
        <x:v>DP-FR15-20</x:v>
      </x:c>
      <x:c r="B43" s="25" t="str">
        <x:v>FR-15</x:v>
      </x:c>
      <x:c r="C43" s="25" t="str">
        <x:v>Domain partition</x:v>
      </x:c>
      <x:c r="D43" s="25" t="str">
        <x:v>Path `id` không hợp lệ.</x:v>
      </x:c>
      <x:c r="E43" s="25" t="str">
        <x:v>Không tìm thấy/từ chối, không đổi sản phẩm khác.</x:v>
      </x:c>
      <x:c r="F43" s="25" t="str">
        <x:v>AI</x:v>
      </x:c>
      <x:c r="G43" s="25" t="str">
        <x:v>VALID (Đúng)</x:v>
      </x:c>
      <x:c r="H43" s="25" t="str">
        <x:v>Phân vùng Path Parameter không đúng hoặc không tồn tại (mong đợi HTTP 404/400).</x:v>
      </x:c>
      <x:c r="I43" s="25" t="str">
        <x:v>Chưa chạy</x:v>
      </x:c>
      <x:c r="J43" s="25" t="str"/>
      <x:c r="K43" s="25" t="str"/>
      <x:c r="L43" s="26" t="str"/>
    </x:row>
    <x:row r="44">
      <x:c r="A44" s="24" t="str">
        <x:v>ST-FR05-01</x:v>
      </x:c>
      <x:c r="B44" s="25" t="str">
        <x:v>FR-05</x:v>
      </x:c>
      <x:c r="C44" s="25" t="str">
        <x:v>State</x:v>
      </x:c>
      <x:c r="D44" s="25" t="str">
        <x:v>Gọi product search hợp lệ hai lần liên tiếp.</x:v>
      </x:c>
      <x:c r="E44" s="25" t="str">
        <x:v>Response ổn định; API đọc không tạo/sửa/xóa sản phẩm.</x:v>
      </x:c>
      <x:c r="F44" s="25" t="str">
        <x:v>AI</x:v>
      </x:c>
      <x:c r="G44" s="25" t="str">
        <x:v>VALID (Đúng)</x:v>
      </x:c>
      <x:c r="H44" s="25" t="str">
        <x:v>Kiểm thử tính idempotent &amp; Safe Method của HTTP `GET`.</x:v>
      </x:c>
      <x:c r="I44" s="25" t="str">
        <x:v>Chưa chạy</x:v>
      </x:c>
      <x:c r="J44" s="25" t="str"/>
      <x:c r="K44" s="25" t="str"/>
      <x:c r="L44" s="26" t="str"/>
    </x:row>
    <x:row r="45">
      <x:c r="A45" s="24" t="str">
        <x:v>ST-FR05-02</x:v>
      </x:c>
      <x:c r="B45" s="25" t="str">
        <x:v>FR-05</x:v>
      </x:c>
      <x:c r="C45" s="25" t="str">
        <x:v>State</x:v>
      </x:c>
      <x:c r="D45" s="25" t="str">
        <x:v>Tìm sản phẩm không tồn tại.</x:v>
      </x:c>
      <x:c r="E45" s="25" t="str">
        <x:v>Mảng rỗng/hành vi công bố; dữ liệu sản phẩm không đổi.</x:v>
      </x:c>
      <x:c r="F45" s="25" t="str">
        <x:v>AI</x:v>
      </x:c>
      <x:c r="G45" s="25" t="str">
        <x:v>VALID (Đúng)</x:v>
      </x:c>
      <x:c r="H45" s="25" t="str">
        <x:v>Đảm bảo truy vấn không tìm thấy kết quả không làm thay đổi state hệ thống.</x:v>
      </x:c>
      <x:c r="I45" s="25" t="str">
        <x:v>Chưa chạy</x:v>
      </x:c>
      <x:c r="J45" s="25" t="str"/>
      <x:c r="K45" s="25" t="str"/>
      <x:c r="L45" s="26" t="str"/>
    </x:row>
    <x:row r="46">
      <x:c r="A46" s="24" t="str">
        <x:v>ST-FR05-03</x:v>
      </x:c>
      <x:c r="B46" s="25" t="str">
        <x:v>FR-05</x:v>
      </x:c>
      <x:c r="C46" s="25" t="str">
        <x:v>State</x:v>
      </x:c>
      <x:c r="D46" s="25" t="str">
        <x:v>Search với input bất thường an toàn.</x:v>
      </x:c>
      <x:c r="E46" s="25" t="str">
        <x:v>Server xử lý an toàn; không thay đổi dữ liệu.</x:v>
      </x:c>
      <x:c r="F46" s="25" t="str">
        <x:v>AI</x:v>
      </x:c>
      <x:c r="G46" s="25" t="str">
        <x:v>VALID (Đúng)</x:v>
      </x:c>
      <x:c r="H46" s="25" t="str">
        <x:v>Đảm bảo input lỗi ở API GET không ảnh hưởng tới CSDL.</x:v>
      </x:c>
      <x:c r="I46" s="25" t="str">
        <x:v>Chưa chạy</x:v>
      </x:c>
      <x:c r="J46" s="25" t="str"/>
      <x:c r="K46" s="25" t="str"/>
      <x:c r="L46" s="26" t="str"/>
    </x:row>
    <x:row r="47">
      <x:c r="A47" s="24" t="str">
        <x:v>ST-FR05-04</x:v>
      </x:c>
      <x:c r="B47" s="25" t="str">
        <x:v>FR-05</x:v>
      </x:c>
      <x:c r="C47" s="25" t="str">
        <x:v>State</x:v>
      </x:c>
      <x:c r="D47" s="25" t="str">
        <x:v>Tìm `PRODUCT_A`, cập nhật tên, tìm tên cũ/mới.</x:v>
      </x:c>
      <x:c r="E47" s="25" t="str">
        <x:v>Tìm kiếm phản ánh đúng trạng thái sau update.</x:v>
      </x:c>
      <x:c r="F47" s="25" t="str">
        <x:v>AI</x:v>
      </x:c>
      <x:c r="G47" s="25" t="str">
        <x:v>VALID (Đúng)</x:v>
      </x:c>
      <x:c r="H47" s="25" t="str">
        <x:v>Đảm bảo chuyển giao trạng thái sau khi cập nhật dữ liệu (State Integration).</x:v>
      </x:c>
      <x:c r="I47" s="25" t="str">
        <x:v>Chưa chạy</x:v>
      </x:c>
      <x:c r="J47" s="25" t="str"/>
      <x:c r="K47" s="25" t="str"/>
      <x:c r="L47" s="26" t="str"/>
    </x:row>
    <x:row r="48">
      <x:c r="A48" s="24" t="str">
        <x:v>ST-FR05-05</x:v>
      </x:c>
      <x:c r="B48" s="25" t="str">
        <x:v>FR-05</x:v>
      </x:c>
      <x:c r="C48" s="25" t="str">
        <x:v>State</x:v>
      </x:c>
      <x:c r="D48" s="25" t="str">
        <x:v>Xóa `PRODUCT_A`, sau đó tìm theo ID/tên.</x:v>
      </x:c>
      <x:c r="E48" s="25" t="str">
        <x:v>Sản phẩm đã xóa không còn xuất hiện.</x:v>
      </x:c>
      <x:c r="F48" s="25" t="str">
        <x:v>AI</x:v>
      </x:c>
      <x:c r="G48" s="25" t="str">
        <x:v>VALID (Đúng)</x:v>
      </x:c>
      <x:c r="H48" s="25" t="str">
        <x:v>Đảm bảo tính nhất quán trạng thái sau thao tác Xóa (Delete State Verification).</x:v>
      </x:c>
      <x:c r="I48" s="25" t="str">
        <x:v>Chưa chạy</x:v>
      </x:c>
      <x:c r="J48" s="25" t="str"/>
      <x:c r="K48" s="25" t="str"/>
      <x:c r="L48" s="26" t="str"/>
    </x:row>
    <x:row r="49">
      <x:c r="A49" s="24" t="str">
        <x:v>ST-FR08-01</x:v>
      </x:c>
      <x:c r="B49" s="25" t="str">
        <x:v>FR-08</x:v>
      </x:c>
      <x:c r="C49" s="25" t="str">
        <x:v>State</x:v>
      </x:c>
      <x:c r="D49" s="25" t="str">
        <x:v>Checkout hợp lệ với user token.</x:v>
      </x:c>
      <x:c r="E49" s="25" t="str">
        <x:v>Order mới được tạo với `status = pending`.</x:v>
      </x:c>
      <x:c r="F49" s="25" t="str">
        <x:v>AI</x:v>
      </x:c>
      <x:c r="G49" s="25" t="str">
        <x:v>VALID (Đúng)</x:v>
      </x:c>
      <x:c r="H49" s="25" t="str">
        <x:v>Kiểm thử khởi tạo trạng thái ban đầu của đơn hàng.</x:v>
      </x:c>
      <x:c r="I49" s="25" t="str">
        <x:v>Chưa chạy</x:v>
      </x:c>
      <x:c r="J49" s="25" t="str"/>
      <x:c r="K49" s="25" t="str"/>
      <x:c r="L49" s="26" t="str"/>
    </x:row>
    <x:row r="50">
      <x:c r="A50" s="24" t="str">
        <x:v>ST-FR08-02</x:v>
      </x:c>
      <x:c r="B50" s="25" t="str">
        <x:v>FR-08</x:v>
      </x:c>
      <x:c r="C50" s="25" t="str">
        <x:v>State</x:v>
      </x:c>
      <x:c r="D50" s="25" t="str">
        <x:v>Đọc order vừa tạo hai lần.</x:v>
      </x:c>
      <x:c r="E50" s="25" t="str">
        <x:v>Đọc không tự làm thay đổi order/status.</x:v>
      </x:c>
      <x:c r="F50" s="25" t="str">
        <x:v>AI</x:v>
      </x:c>
      <x:c r="G50" s="25" t="str">
        <x:v>VALID (Đúng)</x:v>
      </x:c>
      <x:c r="H50" s="25" t="str">
        <x:v>Đảm bảo thao tác xem đơn hàng không làm biến đổi trạng thái `pending`.</x:v>
      </x:c>
      <x:c r="I50" s="25" t="str">
        <x:v>Chưa chạy</x:v>
      </x:c>
      <x:c r="J50" s="25" t="str"/>
      <x:c r="K50" s="25" t="str"/>
      <x:c r="L50" s="26" t="str"/>
    </x:row>
    <x:row r="51">
      <x:c r="A51" s="24" t="str">
        <x:v>ST-FR08-03</x:v>
      </x:c>
      <x:c r="B51" s="25" t="str">
        <x:v>FR-08</x:v>
      </x:c>
      <x:c r="C51" s="25" t="str">
        <x:v>State</x:v>
      </x:c>
      <x:c r="D51" s="25" t="str">
        <x:v>Checkout không token/token sai.</x:v>
      </x:c>
      <x:c r="E51" s="25" t="str">
        <x:v>Bị từ chối, không tạo order mới.</x:v>
      </x:c>
      <x:c r="F51" s="25" t="str">
        <x:v>AI</x:v>
      </x:c>
      <x:c r="G51" s="25" t="str">
        <x:v>VALID (Đúng)</x:v>
      </x:c>
      <x:c r="H51" s="25" t="str">
        <x:v>Đảm bảo thất bại xác thực không sinh ra đơn hàng rác trong DB.</x:v>
      </x:c>
      <x:c r="I51" s="25" t="str">
        <x:v>Chưa chạy</x:v>
      </x:c>
      <x:c r="J51" s="25" t="str"/>
      <x:c r="K51" s="25" t="str"/>
      <x:c r="L51" s="26" t="str"/>
    </x:row>
    <x:row r="52">
      <x:c r="A52" s="24" t="str">
        <x:v>ST-FR08-04</x:v>
      </x:c>
      <x:c r="B52" s="25" t="str">
        <x:v>FR-08</x:v>
      </x:c>
      <x:c r="C52" s="25" t="str">
        <x:v>State</x:v>
      </x:c>
      <x:c r="D52" s="25" t="str">
        <x:v>Checkout amount sai hoặc thiếu địa chỉ.</x:v>
      </x:c>
      <x:c r="E52" s="25" t="str">
        <x:v>Bị từ chối, không tạo order mới.</x:v>
      </x:c>
      <x:c r="F52" s="25" t="str">
        <x:v>AI</x:v>
      </x:c>
      <x:c r="G52" s="25" t="str">
        <x:v>VALID (Đúng)</x:v>
      </x:c>
      <x:c r="H52" s="25" t="str">
        <x:v>Đảm bảo thất bại validation không lưu đơn hàng lỗi.</x:v>
      </x:c>
      <x:c r="I52" s="25" t="str">
        <x:v>Chưa chạy</x:v>
      </x:c>
      <x:c r="J52" s="25" t="str"/>
      <x:c r="K52" s="25" t="str"/>
      <x:c r="L52" s="26" t="str"/>
    </x:row>
    <x:row r="53">
      <x:c r="A53" s="24" t="str">
        <x:v>ST-FR08-05</x:v>
      </x:c>
      <x:c r="B53" s="25" t="str">
        <x:v>FR-08</x:v>
      </x:c>
      <x:c r="C53" s="25" t="str">
        <x:v>State</x:v>
      </x:c>
      <x:c r="D53" s="25" t="str">
        <x:v>Hủy `ORDER_A` đang pending.</x:v>
      </x:c>
      <x:c r="E53" s="25" t="str">
        <x:v>`pending → canceled` nếu quy tắc công bố cho phép.</x:v>
      </x:c>
      <x:c r="F53" s="25" t="str">
        <x:v>AI</x:v>
      </x:c>
      <x:c r="G53" s="25" t="str">
        <x:v>INVALID (Sai)</x:v>
      </x:c>
      <x:c r="H53" s="25" t="str">
        <x:v>Ngoài phạm vi (Out of Scope):** Endpoint Hủy đơn hàng thuộc Pool D, không thuộc phạm vi 3 API được giao.</x:v>
      </x:c>
      <x:c r="I53" s="25" t="str">
        <x:v>Chưa chạy</x:v>
      </x:c>
      <x:c r="J53" s="25" t="str"/>
      <x:c r="K53" s="25" t="str"/>
      <x:c r="L53" s="26" t="str"/>
    </x:row>
    <x:row r="54">
      <x:c r="A54" s="24" t="str">
        <x:v>ST-FR08-06</x:v>
      </x:c>
      <x:c r="B54" s="25" t="str">
        <x:v>FR-08</x:v>
      </x:c>
      <x:c r="C54" s="25" t="str">
        <x:v>State</x:v>
      </x:c>
      <x:c r="D54" s="25" t="str">
        <x:v>Hủy lại order đã canceled.</x:v>
      </x:c>
      <x:c r="E54" s="25" t="str">
        <x:v>Không chuyển trạng thái tiếp; từ chối/idempotent theo contract.</x:v>
      </x:c>
      <x:c r="F54" s="25" t="str">
        <x:v>AI</x:v>
      </x:c>
      <x:c r="G54" s="25" t="str">
        <x:v>INVALID (Sai)</x:v>
      </x:c>
      <x:c r="H54" s="25" t="str">
        <x:v>Ngoài phạm vi:** Phụ thuộc vào endpoint Cancel của Pool D.</x:v>
      </x:c>
      <x:c r="I54" s="25" t="str">
        <x:v>Chưa chạy</x:v>
      </x:c>
      <x:c r="J54" s="25" t="str"/>
      <x:c r="K54" s="25" t="str"/>
      <x:c r="L54" s="26" t="str"/>
    </x:row>
    <x:row r="55">
      <x:c r="A55" s="24" t="str">
        <x:v>ST-FR08-07</x:v>
      </x:c>
      <x:c r="B55" s="25" t="str">
        <x:v>FR-08</x:v>
      </x:c>
      <x:c r="C55" s="25" t="str">
        <x:v>State</x:v>
      </x:c>
      <x:c r="D55" s="25" t="str">
        <x:v>User B thử hủy/đọc `ORDER_A` của User A.</x:v>
      </x:c>
      <x:c r="E55" s="25" t="str">
        <x:v>Không thay đổi/không thấy order của User A.</x:v>
      </x:c>
      <x:c r="F55" s="25" t="str">
        <x:v>AI</x:v>
      </x:c>
      <x:c r="G55" s="25" t="str">
        <x:v>INVALID (Sai)</x:v>
      </x:c>
      <x:c r="H55" s="25" t="str">
        <x:v>Ngoài phạm vi:** Hành vi hủy/xem chi tiết từng order thuộc Pool D.</x:v>
      </x:c>
      <x:c r="I55" s="25" t="str">
        <x:v>Chưa chạy</x:v>
      </x:c>
      <x:c r="J55" s="25" t="str"/>
      <x:c r="K55" s="25" t="str"/>
      <x:c r="L55" s="26" t="str"/>
    </x:row>
    <x:row r="56">
      <x:c r="A56" s="24" t="str">
        <x:v>ST-FR15-01</x:v>
      </x:c>
      <x:c r="B56" s="25" t="str">
        <x:v>FR-15</x:v>
      </x:c>
      <x:c r="C56" s="25" t="str">
        <x:v>State</x:v>
      </x:c>
      <x:c r="D56" s="25" t="str">
        <x:v>Admin tạo `PRODUCT_A`.</x:v>
      </x:c>
      <x:c r="E56" s="25" t="str">
        <x:v>`không tồn tại → đã tạo`, ID/dữ liệu được đọc lại.</x:v>
      </x:c>
      <x:c r="F56" s="25" t="str">
        <x:v>AI</x:v>
      </x:c>
      <x:c r="G56" s="25" t="str">
        <x:v>VALID (Đúng)</x:v>
      </x:c>
      <x:c r="H56" s="25" t="str">
        <x:v>Chuyển giao trạng thái từ chưa tồn tại sang đã tạo mới.</x:v>
      </x:c>
      <x:c r="I56" s="25" t="str">
        <x:v>Chưa chạy</x:v>
      </x:c>
      <x:c r="J56" s="25" t="str"/>
      <x:c r="K56" s="25" t="str"/>
      <x:c r="L56" s="26" t="str"/>
    </x:row>
    <x:row r="57">
      <x:c r="A57" s="24" t="str">
        <x:v>ST-FR15-02</x:v>
      </x:c>
      <x:c r="B57" s="25" t="str">
        <x:v>FR-15</x:v>
      </x:c>
      <x:c r="C57" s="25" t="str">
        <x:v>State</x:v>
      </x:c>
      <x:c r="D57" s="25" t="str">
        <x:v>Admin cập nhật `PRODUCT_A`.</x:v>
      </x:c>
      <x:c r="E57" s="25" t="str">
        <x:v>`đã tạo → đã cập nhật`; field thay đổi đúng.</x:v>
      </x:c>
      <x:c r="F57" s="25" t="str">
        <x:v>AI</x:v>
      </x:c>
      <x:c r="G57" s="25" t="str">
        <x:v>VALID (Đúng)</x:v>
      </x:c>
      <x:c r="H57" s="25" t="str">
        <x:v>Chuyển giao trạng thái cập nhật thông tin sản phẩm.</x:v>
      </x:c>
      <x:c r="I57" s="25" t="str">
        <x:v>Chưa chạy</x:v>
      </x:c>
      <x:c r="J57" s="25" t="str"/>
      <x:c r="K57" s="25" t="str"/>
      <x:c r="L57" s="26" t="str"/>
    </x:row>
    <x:row r="58">
      <x:c r="A58" s="24" t="str">
        <x:v>ST-FR15-03</x:v>
      </x:c>
      <x:c r="B58" s="25" t="str">
        <x:v>FR-15</x:v>
      </x:c>
      <x:c r="C58" s="25" t="str">
        <x:v>State</x:v>
      </x:c>
      <x:c r="D58" s="25" t="str">
        <x:v>Update `PRODUCT_A` với price sai.</x:v>
      </x:c>
      <x:c r="E58" s="25" t="str">
        <x:v>Bị từ chối; snapshot dữ liệu không đổi.</x:v>
      </x:c>
      <x:c r="F58" s="25" t="str">
        <x:v>AI</x:v>
      </x:c>
      <x:c r="G58" s="25" t="str">
        <x:v>VALID (Đúng)</x:v>
      </x:c>
      <x:c r="H58" s="25" t="str">
        <x:v>Đảm bảo cập nhật thất bại thì dữ liệu cũ được giữ nguyên (Atomic rollback).</x:v>
      </x:c>
      <x:c r="I58" s="25" t="str">
        <x:v>Chưa chạy</x:v>
      </x:c>
      <x:c r="J58" s="25" t="str"/>
      <x:c r="K58" s="25" t="str"/>
      <x:c r="L58" s="26" t="str"/>
    </x:row>
    <x:row r="59">
      <x:c r="A59" s="24" t="str">
        <x:v>ST-FR15-04</x:v>
      </x:c>
      <x:c r="B59" s="25" t="str">
        <x:v>FR-15</x:v>
      </x:c>
      <x:c r="C59" s="25" t="str">
        <x:v>State</x:v>
      </x:c>
      <x:c r="D59" s="25" t="str">
        <x:v>User thường/không token thực hiện CRUD.</x:v>
      </x:c>
      <x:c r="E59" s="25" t="str">
        <x:v>Bị từ chối; `PRODUCT_A` không đổi.</x:v>
      </x:c>
      <x:c r="F59" s="25" t="str">
        <x:v>AI</x:v>
      </x:c>
      <x:c r="G59" s="25" t="str">
        <x:v>VALID (Đúng)</x:v>
      </x:c>
      <x:c r="H59" s="25" t="str">
        <x:v>Đảm bảo vi phạm phân quyền không làm thay đổi trạng thái sản phẩm.</x:v>
      </x:c>
      <x:c r="I59" s="25" t="str">
        <x:v>Chưa chạy</x:v>
      </x:c>
      <x:c r="J59" s="25" t="str"/>
      <x:c r="K59" s="25" t="str"/>
      <x:c r="L59" s="26" t="str"/>
    </x:row>
    <x:row r="60">
      <x:c r="A60" s="24" t="str">
        <x:v>ST-FR15-05</x:v>
      </x:c>
      <x:c r="B60" s="25" t="str">
        <x:v>FR-15</x:v>
      </x:c>
      <x:c r="C60" s="25" t="str">
        <x:v>State</x:v>
      </x:c>
      <x:c r="D60" s="25" t="str">
        <x:v>Admin xóa `PRODUCT_A`.</x:v>
      </x:c>
      <x:c r="E60" s="25" t="str">
        <x:v>`đã cập nhật → đã xóa`; không còn trong list/search.</x:v>
      </x:c>
      <x:c r="F60" s="25" t="str">
        <x:v>AI</x:v>
      </x:c>
      <x:c r="G60" s="25" t="str">
        <x:v>VALID (Đúng)</x:v>
      </x:c>
      <x:c r="H60" s="25" t="str">
        <x:v>Chuyển giao trạng thái xóa sản phẩm khỏi hệ thống.</x:v>
      </x:c>
      <x:c r="I60" s="25" t="str">
        <x:v>Chưa chạy</x:v>
      </x:c>
      <x:c r="J60" s="25" t="str"/>
      <x:c r="K60" s="25" t="str"/>
      <x:c r="L60" s="26" t="str"/>
    </x:row>
    <x:row r="61">
      <x:c r="A61" s="24" t="str">
        <x:v>ST-FR15-06</x:v>
      </x:c>
      <x:c r="B61" s="25" t="str">
        <x:v>FR-15</x:v>
      </x:c>
      <x:c r="C61" s="25" t="str">
        <x:v>State</x:v>
      </x:c>
      <x:c r="D61" s="25" t="str">
        <x:v>Xóa lại `PRODUCT_A` đã xóa.</x:v>
      </x:c>
      <x:c r="E61" s="25" t="str">
        <x:v>Không xóa sản phẩm khác; 404/idempotent theo contract.</x:v>
      </x:c>
      <x:c r="F61" s="25" t="str">
        <x:v>AI</x:v>
      </x:c>
      <x:c r="G61" s="25" t="str">
        <x:v>VALID (Đúng)</x:v>
      </x:c>
      <x:c r="H61" s="25" t="str">
        <x:v>Thao tác xóa lại tài nguyên đã xóa (Idempotent Delete).</x:v>
      </x:c>
      <x:c r="I61" s="25" t="str">
        <x:v>Chưa chạy</x:v>
      </x:c>
      <x:c r="J61" s="25" t="str"/>
      <x:c r="K61" s="25" t="str"/>
      <x:c r="L61" s="26" t="str"/>
    </x:row>
    <x:row r="62">
      <x:c r="A62" s="24" t="str">
        <x:v>ST-FR15-07</x:v>
      </x:c>
      <x:c r="B62" s="25" t="str">
        <x:v>FR-15</x:v>
      </x:c>
      <x:c r="C62" s="25" t="str">
        <x:v>State</x:v>
      </x:c>
      <x:c r="D62" s="25" t="str">
        <x:v>PUT/DELETE bằng ID sai và kiểm tra `PRODUCT_B`.</x:v>
      </x:c>
      <x:c r="E62" s="25" t="str">
        <x:v>Không làm đổi `PRODUCT_B`/dữ liệu khác.</x:v>
      </x:c>
      <x:c r="F62" s="25" t="str">
        <x:v>AI</x:v>
      </x:c>
      <x:c r="G62" s="25" t="str">
        <x:v>VALID (Đúng)</x:v>
      </x:c>
      <x:c r="H62" s="25" t="str">
        <x:v>Kiểm thử tính cô lập dữ liệu (Data Isolation) giữa các sản phẩm.</x:v>
      </x:c>
      <x:c r="I62" s="25" t="str">
        <x:v>Chưa chạy</x:v>
      </x:c>
      <x:c r="J62" s="25" t="str"/>
      <x:c r="K62" s="25" t="str"/>
      <x:c r="L62" s="26" t="str"/>
    </x:row>
    <x:row r="63">
      <x:c r="A63" s="24" t="str">
        <x:v>SEC-SQL-01</x:v>
      </x:c>
      <x:c r="B63" s="25" t="str">
        <x:v>Hỗ trợ</x:v>
      </x:c>
      <x:c r="C63" s="25" t="str">
        <x:v>Security - SQLi</x:v>
      </x:c>
      <x:c r="D63" s="25" t="str">
        <x:v>Search với payload boolean SQL injection URL-encoded.</x:v>
      </x:c>
      <x:c r="E63" s="25" t="str">
        <x:v>Không trả dữ liệu không liên quan/lỗi DB.</x:v>
      </x:c>
      <x:c r="F63" s="25" t="str">
        <x:v>AI</x:v>
      </x:c>
      <x:c r="G63" s="25" t="str">
        <x:v>VALID (Đúng)</x:v>
      </x:c>
      <x:c r="H63" s="25" t="str">
        <x:v>Kiểm thử lỗ hổng SQLi dạng Boolean-based qua tham số Query.</x:v>
      </x:c>
      <x:c r="I63" s="25" t="str">
        <x:v>Chưa chạy</x:v>
      </x:c>
      <x:c r="J63" s="25" t="str"/>
      <x:c r="K63" s="25" t="str"/>
      <x:c r="L63" s="26" t="str"/>
    </x:row>
    <x:row r="64">
      <x:c r="A64" s="24" t="str">
        <x:v>SEC-SQL-02</x:v>
      </x:c>
      <x:c r="B64" s="25" t="str">
        <x:v>Hỗ trợ</x:v>
      </x:c>
      <x:c r="C64" s="25" t="str">
        <x:v>Security - SQLi</x:v>
      </x:c>
      <x:c r="D64" s="25" t="str">
        <x:v>Search với nháy đơn/nháy kép.</x:v>
      </x:c>
      <x:c r="E64" s="25" t="str">
        <x:v>Không 5xx, stack trace hoặc lỗi database.</x:v>
      </x:c>
      <x:c r="F64" s="25" t="str">
        <x:v>AI</x:v>
      </x:c>
      <x:c r="G64" s="25" t="str">
        <x:v>VALID (Đúng)</x:v>
      </x:c>
      <x:c r="H64" s="25" t="str">
        <x:v>Kiểm thử escape ký tự đặc biệt phá vỡ cấu trúc SQL.</x:v>
      </x:c>
      <x:c r="I64" s="25" t="str">
        <x:v>Chưa chạy</x:v>
      </x:c>
      <x:c r="J64" s="25" t="str"/>
      <x:c r="K64" s="25" t="str"/>
      <x:c r="L64" s="26" t="str"/>
    </x:row>
    <x:row r="65">
      <x:c r="A65" s="24" t="str">
        <x:v>SEC-SQL-03</x:v>
      </x:c>
      <x:c r="B65" s="25" t="str">
        <x:v>Hỗ trợ</x:v>
      </x:c>
      <x:c r="C65" s="25" t="str">
        <x:v>Security - SQLi</x:v>
      </x:c>
      <x:c r="D65" s="25" t="str">
        <x:v>Search với SQL comment marker.</x:v>
      </x:c>
      <x:c r="E65" s="25" t="str">
        <x:v>Không bỏ qua điều kiện tìm kiếm/trả toàn bộ sản phẩm.</x:v>
      </x:c>
      <x:c r="F65" s="25" t="str">
        <x:v>AI</x:v>
      </x:c>
      <x:c r="G65" s="25" t="str">
        <x:v>VALID (Đúng)</x:v>
      </x:c>
      <x:c r="H65" s="25" t="str">
        <x:v>Kiểm thử triệt tiêu truy vấn SQL qua các dấu comment (`--`, `/*`).</x:v>
      </x:c>
      <x:c r="I65" s="25" t="str">
        <x:v>Chưa chạy</x:v>
      </x:c>
      <x:c r="J65" s="25" t="str"/>
      <x:c r="K65" s="25" t="str"/>
      <x:c r="L65" s="26" t="str"/>
    </x:row>
    <x:row r="66">
      <x:c r="A66" s="24" t="str">
        <x:v>SEC-SQL-04</x:v>
      </x:c>
      <x:c r="B66" s="25" t="str">
        <x:v>Hỗ trợ</x:v>
      </x:c>
      <x:c r="C66" s="25" t="str">
        <x:v>Security - SQLi</x:v>
      </x:c>
      <x:c r="D66" s="25" t="str">
        <x:v>Search với wildcard `%` và `_`.</x:v>
      </x:c>
      <x:c r="E66" s="25" t="str">
        <x:v>Hành vi khớp chính sách đã công bố/ghi contract gap.</x:v>
      </x:c>
      <x:c r="F66" s="25" t="str">
        <x:v>AI</x:v>
      </x:c>
      <x:c r="G66" s="25" t="str">
        <x:v>VALID (Đúng)</x:v>
      </x:c>
      <x:c r="H66" s="25" t="str">
        <x:v>Kiểm thử khai thác logic wildcard trong câu lệnh `LIKE`.</x:v>
      </x:c>
      <x:c r="I66" s="25" t="str">
        <x:v>Chưa chạy</x:v>
      </x:c>
      <x:c r="J66" s="25" t="str"/>
      <x:c r="K66" s="25" t="str"/>
      <x:c r="L66" s="26" t="str"/>
    </x:row>
    <x:row r="67">
      <x:c r="A67" s="24" t="str">
        <x:v>SEC-SQL-05</x:v>
      </x:c>
      <x:c r="B67" s="25" t="str">
        <x:v>Hỗ trợ</x:v>
      </x:c>
      <x:c r="C67" s="25" t="str">
        <x:v>Security - SQLi</x:v>
      </x:c>
      <x:c r="D67" s="25" t="str">
        <x:v>POST/PUT product text chứa ký tự SQL.</x:v>
      </x:c>
      <x:c r="E67" s="25" t="str">
        <x:v>Lưu như text/validate; không thực thi SQL hay đổi sản phẩm khác.</x:v>
      </x:c>
      <x:c r="F67" s="25" t="str">
        <x:v>AI</x:v>
      </x:c>
      <x:c r="G67" s="25" t="str">
        <x:v>VALID (Đúng)</x:v>
      </x:c>
      <x:c r="H67" s="25" t="str">
        <x:v>Kiểm thử an toàn SQLi trong Request Body của thao tác Admin.</x:v>
      </x:c>
      <x:c r="I67" s="25" t="str">
        <x:v>Chưa chạy</x:v>
      </x:c>
      <x:c r="J67" s="25" t="str"/>
      <x:c r="K67" s="25" t="str"/>
      <x:c r="L67" s="26" t="str"/>
    </x:row>
    <x:row r="68">
      <x:c r="A68" s="24" t="str">
        <x:v>SEC-SQL-06</x:v>
      </x:c>
      <x:c r="B68" s="25" t="str">
        <x:v>Hỗ trợ</x:v>
      </x:c>
      <x:c r="C68" s="25" t="str">
        <x:v>Security - SQLi</x:v>
      </x:c>
      <x:c r="D68" s="25" t="str">
        <x:v>PUT/DELETE với path ID dạng SQL text.</x:v>
      </x:c>
      <x:c r="E68" s="25" t="str">
        <x:v>Không đổi/xóa dữ liệu khác; không lộ lỗi DB.</x:v>
      </x:c>
      <x:c r="F68" s="25" t="str">
        <x:v>AI</x:v>
      </x:c>
      <x:c r="G68" s="25" t="str">
        <x:v>VALID (Đúng)</x:v>
      </x:c>
      <x:c r="H68" s="25" t="str">
        <x:v>Kiểm thử chèn mã SQL vào Path Parameter `id`.</x:v>
      </x:c>
      <x:c r="I68" s="25" t="str">
        <x:v>Chưa chạy</x:v>
      </x:c>
      <x:c r="J68" s="25" t="str"/>
      <x:c r="K68" s="25" t="str"/>
      <x:c r="L68" s="26" t="str"/>
    </x:row>
    <x:row r="69">
      <x:c r="A69" s="24" t="str">
        <x:v>SEC-SQL-07</x:v>
      </x:c>
      <x:c r="B69" s="25" t="str">
        <x:v>Hỗ trợ</x:v>
      </x:c>
      <x:c r="C69" s="25" t="str">
        <x:v>Security - SQLi</x:v>
      </x:c>
      <x:c r="D69" s="25" t="str">
        <x:v>Checkout fields chứa chuỗi SQL không phá hủy.</x:v>
      </x:c>
      <x:c r="E69" s="25" t="str">
        <x:v>Xử lý an toàn; không tác động order khác/lộ lỗi SQL.</x:v>
      </x:c>
      <x:c r="F69" s="25" t="str">
        <x:v>AI</x:v>
      </x:c>
      <x:c r="G69" s="25" t="str">
        <x:v>VALID (Đúng)</x:v>
      </x:c>
      <x:c r="H69" s="25" t="str">
        <x:v>Kiểm thử chèn mã SQL vào body của Checkout API.</x:v>
      </x:c>
      <x:c r="I69" s="25" t="str">
        <x:v>Chưa chạy</x:v>
      </x:c>
      <x:c r="J69" s="25" t="str"/>
      <x:c r="K69" s="25" t="str"/>
      <x:c r="L69" s="26" t="str"/>
    </x:row>
    <x:row r="70">
      <x:c r="A70" s="24" t="str">
        <x:v>SEC-IDOR-01</x:v>
      </x:c>
      <x:c r="B70" s="25" t="str">
        <x:v>Hỗ trợ</x:v>
      </x:c>
      <x:c r="C70" s="25" t="str">
        <x:v>Security - IDOR</x:v>
      </x:c>
      <x:c r="D70" s="25" t="str">
        <x:v>User B đọc `ORDER_A` của User A qua endpoint detail.</x:v>
      </x:c>
      <x:c r="E70" s="25" t="str">
        <x:v>Bị từ chối/không lộ dữ liệu.</x:v>
      </x:c>
      <x:c r="F70" s="25" t="str">
        <x:v>AI</x:v>
      </x:c>
      <x:c r="G70" s="25" t="str">
        <x:v>INCOMPLETE (Thiếu)</x:v>
      </x:c>
      <x:c r="H70" s="25" t="str">
        <x:v>Nhầm Endpoint:** Detail order thuộc Pool D. Cần sửa sang hậu kiểm thông qua API `POST /api/checkout` bằng tài khoản khác.</x:v>
      </x:c>
      <x:c r="I70" s="25" t="str">
        <x:v>Chưa chạy</x:v>
      </x:c>
      <x:c r="J70" s="25" t="str"/>
      <x:c r="K70" s="25" t="str"/>
      <x:c r="L70" s="26" t="str"/>
    </x:row>
    <x:row r="71">
      <x:c r="A71" s="24" t="str">
        <x:v>SEC-IDOR-02</x:v>
      </x:c>
      <x:c r="B71" s="25" t="str">
        <x:v>Hỗ trợ</x:v>
      </x:c>
      <x:c r="C71" s="25" t="str">
        <x:v>Security - IDOR</x:v>
      </x:c>
      <x:c r="D71" s="25" t="str">
        <x:v>User B hủy `ORDER_A` của User A.</x:v>
      </x:c>
      <x:c r="E71" s="25" t="str">
        <x:v>Bị từ chối; status của `ORDER_A` không đổi.</x:v>
      </x:c>
      <x:c r="F71" s="25" t="str">
        <x:v>AI</x:v>
      </x:c>
      <x:c r="G71" s="25" t="str">
        <x:v>INVALID (Sai)</x:v>
      </x:c>
      <x:c r="H71" s="25" t="str">
        <x:v>Ngoài phạm vi:** Phụ thuộc vào endpoint Cancel order (Pool D).</x:v>
      </x:c>
      <x:c r="I71" s="25" t="str">
        <x:v>Chưa chạy</x:v>
      </x:c>
      <x:c r="J71" s="25" t="str"/>
      <x:c r="K71" s="25" t="str"/>
      <x:c r="L71" s="26" t="str"/>
    </x:row>
    <x:row r="72">
      <x:c r="A72" s="24" t="str">
        <x:v>SEC-IDOR-03</x:v>
      </x:c>
      <x:c r="B72" s="25" t="str">
        <x:v>Hỗ trợ</x:v>
      </x:c>
      <x:c r="C72" s="25" t="str">
        <x:v>Security - IDOR</x:v>
      </x:c>
      <x:c r="D72" s="25" t="str">
        <x:v>User A/B đọc `my-orders`.</x:v>
      </x:c>
      <x:c r="E72" s="25" t="str">
        <x:v>Mỗi user chỉ thấy order của mình.</x:v>
      </x:c>
      <x:c r="F72" s="25" t="str">
        <x:v>AI</x:v>
      </x:c>
      <x:c r="G72" s="25" t="str">
        <x:v>VALID (Đúng)</x:v>
      </x:c>
      <x:c r="H72" s="25" t="str">
        <x:v>Kiểm thử cô lập dữ liệu ngang (Horizontal Privilege Escalation) ở danh sách đơn hàng.</x:v>
      </x:c>
      <x:c r="I72" s="25" t="str">
        <x:v>Chưa chạy</x:v>
      </x:c>
      <x:c r="J72" s="25" t="str"/>
      <x:c r="K72" s="25" t="str"/>
      <x:c r="L72" s="26" t="str"/>
    </x:row>
    <x:row r="73">
      <x:c r="A73" s="24" t="str">
        <x:v>SEC-IDOR-04</x:v>
      </x:c>
      <x:c r="B73" s="25" t="str">
        <x:v>Hỗ trợ</x:v>
      </x:c>
      <x:c r="C73" s="25" t="str">
        <x:v>Security - IDOR</x:v>
      </x:c>
      <x:c r="D73" s="25" t="str">
        <x:v>CRUD product với ID không tồn tại/ID sản phẩm khác.</x:v>
      </x:c>
      <x:c r="E73" s="25" t="str">
        <x:v>Không tác động dữ liệu ngoài phạm vi quyền.</x:v>
      </x:c>
      <x:c r="F73" s="25" t="str">
        <x:v>AI</x:v>
      </x:c>
      <x:c r="G73" s="25" t="str">
        <x:v>VALID (Đúng)</x:v>
      </x:c>
      <x:c r="H73" s="25" t="str">
        <x:v>Kiểm thử tác động chéo tài nguyên khi sửa/xóa ID sản phẩm.</x:v>
      </x:c>
      <x:c r="I73" s="25" t="str">
        <x:v>Chưa chạy</x:v>
      </x:c>
      <x:c r="J73" s="25" t="str"/>
      <x:c r="K73" s="25" t="str"/>
      <x:c r="L73" s="26" t="str"/>
    </x:row>
    <x:row r="74">
      <x:c r="A74" s="24" t="str">
        <x:v>SEC-IDOR-05</x:v>
      </x:c>
      <x:c r="B74" s="25" t="str">
        <x:v>Hỗ trợ</x:v>
      </x:c>
      <x:c r="C74" s="25" t="str">
        <x:v>Security - IDOR</x:v>
      </x:c>
      <x:c r="D74" s="25" t="str">
        <x:v>Gửi query/path ID bất thường tới API product.</x:v>
      </x:c>
      <x:c r="E74" s="25" t="str">
        <x:v>Input không được tác động dữ liệu; API đọc theo contract public.</x:v>
      </x:c>
      <x:c r="F74" s="25" t="str">
        <x:v>AI</x:v>
      </x:c>
      <x:c r="G74" s="25" t="str">
        <x:v>VALID (Đúng)</x:v>
      </x:c>
      <x:c r="H74" s="25" t="str">
        <x:v>Kiểm thử tính toàn vẹn tài nguyên công khai trước các tham số bất thường.</x:v>
      </x:c>
      <x:c r="I74" s="25" t="str">
        <x:v>Chưa chạy</x:v>
      </x:c>
      <x:c r="J74" s="25" t="str"/>
      <x:c r="K74" s="25" t="str"/>
      <x:c r="L74" s="26" t="str"/>
    </x:row>
    <x:row r="75">
      <x:c r="A75" s="24" t="str">
        <x:v>SEC-RBAC-01</x:v>
      </x:c>
      <x:c r="B75" s="25" t="str">
        <x:v>Hỗ trợ</x:v>
      </x:c>
      <x:c r="C75" s="25" t="str">
        <x:v>Security - RBAC</x:v>
      </x:c>
      <x:c r="D75" s="25" t="str">
        <x:v>Không token POST product.</x:v>
      </x:c>
      <x:c r="E75" s="25" t="str">
        <x:v>Bị từ chối 401/403; không tạo sản phẩm.</x:v>
      </x:c>
      <x:c r="F75" s="25" t="str">
        <x:v>AI</x:v>
      </x:c>
      <x:c r="G75" s="25" t="str">
        <x:v>VALID (Đúng)</x:v>
      </x:c>
      <x:c r="H75" s="25" t="str">
        <x:v>Kiểm thử thiếu xác thực khi thực hiện thao tác Admin.</x:v>
      </x:c>
      <x:c r="I75" s="25" t="str">
        <x:v>Chưa chạy</x:v>
      </x:c>
      <x:c r="J75" s="25" t="str"/>
      <x:c r="K75" s="25" t="str"/>
      <x:c r="L75" s="26" t="str"/>
    </x:row>
    <x:row r="76">
      <x:c r="A76" s="24" t="str">
        <x:v>SEC-RBAC-02</x:v>
      </x:c>
      <x:c r="B76" s="25" t="str">
        <x:v>Hỗ trợ</x:v>
      </x:c>
      <x:c r="C76" s="25" t="str">
        <x:v>Security - RBAC</x:v>
      </x:c>
      <x:c r="D76" s="25" t="str">
        <x:v>User token POST product.</x:v>
      </x:c>
      <x:c r="E76" s="25" t="str">
        <x:v>Bị từ chối; không tạo sản phẩm.</x:v>
      </x:c>
      <x:c r="F76" s="25" t="str">
        <x:v>AI</x:v>
      </x:c>
      <x:c r="G76" s="25" t="str">
        <x:v>VALID (Đúng)</x:v>
      </x:c>
      <x:c r="H76" s="25" t="str">
        <x:v>Kiểm thử leo thang đặc quyền từ Role User lên Admin.</x:v>
      </x:c>
      <x:c r="I76" s="25" t="str">
        <x:v>Chưa chạy</x:v>
      </x:c>
      <x:c r="J76" s="25" t="str"/>
      <x:c r="K76" s="25" t="str"/>
      <x:c r="L76" s="26" t="str"/>
    </x:row>
    <x:row r="77">
      <x:c r="A77" s="24" t="str">
        <x:v>SEC-RBAC-03</x:v>
      </x:c>
      <x:c r="B77" s="25" t="str">
        <x:v>Hỗ trợ</x:v>
      </x:c>
      <x:c r="C77" s="25" t="str">
        <x:v>Security - RBAC</x:v>
      </x:c>
      <x:c r="D77" s="25" t="str">
        <x:v>User token PUT/DELETE `PRODUCT_A`.</x:v>
      </x:c>
      <x:c r="E77" s="25" t="str">
        <x:v>Bị từ chối; sản phẩm không đổi.</x:v>
      </x:c>
      <x:c r="F77" s="25" t="str">
        <x:v>AI</x:v>
      </x:c>
      <x:c r="G77" s="25" t="str">
        <x:v>VALID (Đúng)</x:v>
      </x:c>
      <x:c r="H77" s="25" t="str">
        <x:v>Kiểm thử phân quyền RBAC cho các thao tác sửa/xóa sản phẩm.</x:v>
      </x:c>
      <x:c r="I77" s="25" t="str">
        <x:v>Chưa chạy</x:v>
      </x:c>
      <x:c r="J77" s="25" t="str"/>
      <x:c r="K77" s="25" t="str"/>
      <x:c r="L77" s="26" t="str"/>
    </x:row>
    <x:row r="78">
      <x:c r="A78" s="24" t="str">
        <x:v>SEC-RBAC-04</x:v>
      </x:c>
      <x:c r="B78" s="25" t="str">
        <x:v>Hỗ trợ</x:v>
      </x:c>
      <x:c r="C78" s="25" t="str">
        <x:v>Security - RBAC</x:v>
      </x:c>
      <x:c r="D78" s="25" t="str">
        <x:v>Admin token thực hiện product CRUD.</x:v>
      </x:c>
      <x:c r="E78" s="25" t="str">
        <x:v>Được phép; chỉ đổi dữ liệu test và cleanup hoàn tất.</x:v>
      </x:c>
      <x:c r="F78" s="25" t="str">
        <x:v>AI</x:v>
      </x:c>
      <x:c r="G78" s="25" t="str">
        <x:v>VALID (Đúng)</x:v>
      </x:c>
      <x:c r="H78" s="25" t="str">
        <x:v>Phân quyền hợp lệ (Positive RBAC check) cho Role Admin.</x:v>
      </x:c>
      <x:c r="I78" s="25" t="str">
        <x:v>Chưa chạy</x:v>
      </x:c>
      <x:c r="J78" s="25" t="str"/>
      <x:c r="K78" s="25" t="str"/>
      <x:c r="L78" s="26" t="str"/>
    </x:row>
    <x:row r="79">
      <x:c r="A79" s="24" t="str">
        <x:v>SEC-RBAC-05</x:v>
      </x:c>
      <x:c r="B79" s="25" t="str">
        <x:v>Hỗ trợ</x:v>
      </x:c>
      <x:c r="C79" s="25" t="str">
        <x:v>Security - RBAC</x:v>
      </x:c>
      <x:c r="D79" s="25" t="str">
        <x:v>Token hỏng/hết hạn/đã sửa thực hiện product CRUD.</x:v>
      </x:c>
      <x:c r="E79" s="25" t="str">
        <x:v>Bị từ chối; không đổi dữ liệu.</x:v>
      </x:c>
      <x:c r="F79" s="25" t="str">
        <x:v>AI</x:v>
      </x:c>
      <x:c r="G79" s="25" t="str">
        <x:v>VALID (Đúng)</x:v>
      </x:c>
      <x:c r="H79" s="25" t="str">
        <x:v>Kiểm thử chống giả mạo token (JWT signature manipulation/expiration).</x:v>
      </x:c>
      <x:c r="I79" s="25" t="str">
        <x:v>Chưa chạy</x:v>
      </x:c>
      <x:c r="J79" s="25" t="str"/>
      <x:c r="K79" s="25" t="str"/>
      <x:c r="L79" s="26" t="str"/>
    </x:row>
    <x:row r="80">
      <x:c r="A80" s="24" t="str">
        <x:v>SEC-RBAC-06</x:v>
      </x:c>
      <x:c r="B80" s="25" t="str">
        <x:v>Hỗ trợ</x:v>
      </x:c>
      <x:c r="C80" s="25" t="str">
        <x:v>Security - RBAC</x:v>
      </x:c>
      <x:c r="D80" s="25" t="str">
        <x:v>Checkout với không token, token hỏng, user, admin.</x:v>
      </x:c>
      <x:c r="E80" s="25" t="str">
        <x:v>Chỉ token hợp lệ tạo order cho đúng user.</x:v>
      </x:c>
      <x:c r="F80" s="25" t="str">
        <x:v>AI</x:v>
      </x:c>
      <x:c r="G80" s="25" t="str">
        <x:v>VALID (Đúng)</x:v>
      </x:c>
      <x:c r="H80" s="25" t="str">
        <x:v>Kiểm thử phân quyền và xác thực đa kịch bản cho API Checkout.</x:v>
      </x:c>
      <x:c r="I80" s="25" t="str">
        <x:v>Chưa chạy</x:v>
      </x:c>
      <x:c r="J80" s="25" t="str"/>
      <x:c r="K80" s="25" t="str"/>
      <x:c r="L80" s="26" t="str"/>
    </x:row>
    <x:row r="81">
      <x:c r="A81" s="24" t="str">
        <x:v>SEC-RBAC-07</x:v>
      </x:c>
      <x:c r="B81" s="25" t="str">
        <x:v>Hỗ trợ</x:v>
      </x:c>
      <x:c r="C81" s="25" t="str">
        <x:v>Security - RBAC</x:v>
      </x:c>
      <x:c r="D81" s="25" t="str">
        <x:v>List/search product với các token khác nhau.</x:v>
      </x:c>
      <x:c r="E81" s="25" t="str">
        <x:v>API public có response chức năng tương đương, không lộ field đặc quyền.</x:v>
      </x:c>
      <x:c r="F81" s="25" t="str">
        <x:v>AI</x:v>
      </x:c>
      <x:c r="G81" s="25" t="str">
        <x:v>VALID (Đúng)</x:v>
      </x:c>
      <x:c r="H81" s="25" t="str">
        <x:v>Kiểm thử an toàn API Public không rò rỉ thông tin quản trị.</x:v>
      </x:c>
      <x:c r="I81" s="25" t="str">
        <x:v>Chưa chạy</x:v>
      </x:c>
      <x:c r="J81" s="25" t="str"/>
      <x:c r="K81" s="25" t="str"/>
      <x:c r="L81" s="26" t="str"/>
    </x:row>
    <x:row r="82">
      <x:c r="A82" s="24" t="str">
        <x:v>SCH-FR05-01</x:v>
      </x:c>
      <x:c r="B82" s="25" t="str">
        <x:v>FR-05</x:v>
      </x:c>
      <x:c r="C82" s="25" t="str">
        <x:v>Schema</x:v>
      </x:c>
      <x:c r="D82" s="25" t="str">
        <x:v>List product không query.</x:v>
      </x:c>
      <x:c r="E82" s="25" t="str">
        <x:v>200 JSON array; item có field/type Product schema suy luận.</x:v>
      </x:c>
      <x:c r="F82" s="25" t="str">
        <x:v>AI</x:v>
      </x:c>
      <x:c r="G82" s="25" t="str">
        <x:v>INCOMPLETE (Thiếu)</x:v>
      </x:c>
      <x:c r="H82" s="25" t="str">
        <x:v>Thiếu căn cứ trong đặc tả:** `api_specification.md` không công bố Schema Response chính thức; cấu trúc này do AI tự suy luận từ nguồn code[cite: 1].</x:v>
      </x:c>
      <x:c r="I82" s="25" t="str">
        <x:v>Chưa chạy</x:v>
      </x:c>
      <x:c r="J82" s="25" t="str"/>
      <x:c r="K82" s="25" t="str"/>
      <x:c r="L82" s="26" t="str"/>
    </x:row>
    <x:row r="83">
      <x:c r="A83" s="24" t="str">
        <x:v>SCH-FR05-02</x:v>
      </x:c>
      <x:c r="B83" s="25" t="str">
        <x:v>FR-05</x:v>
      </x:c>
      <x:c r="C83" s="25" t="str">
        <x:v>Schema</x:v>
      </x:c>
      <x:c r="D83" s="25" t="str">
        <x:v>Search product có kết quả.</x:v>
      </x:c>
      <x:c r="E83" s="25" t="str">
        <x:v>Cùng schema array/item như list.</x:v>
      </x:c>
      <x:c r="F83" s="25" t="str">
        <x:v>AI</x:v>
      </x:c>
      <x:c r="G83" s="25" t="str">
        <x:v>INCOMPLETE (Thiếu)</x:v>
      </x:c>
      <x:c r="H83" s="25" t="str">
        <x:v>Thiếu căn cứ trong đặc tả:** Response schema do AI suy luận, chưa có tài liệu spec chính thức quy định[cite: 1].</x:v>
      </x:c>
      <x:c r="I83" s="25" t="str">
        <x:v>Chưa chạy</x:v>
      </x:c>
      <x:c r="J83" s="25" t="str"/>
      <x:c r="K83" s="25" t="str"/>
      <x:c r="L83" s="26" t="str"/>
    </x:row>
    <x:row r="84">
      <x:c r="A84" s="24" t="str">
        <x:v>SCH-FR05-03</x:v>
      </x:c>
      <x:c r="B84" s="25" t="str">
        <x:v>FR-05</x:v>
      </x:c>
      <x:c r="C84" s="25" t="str">
        <x:v>Schema</x:v>
      </x:c>
      <x:c r="D84" s="25" t="str">
        <x:v>Search không có kết quả.</x:v>
      </x:c>
      <x:c r="E84" s="25" t="str">
        <x:v>JSON array rỗng, không `null`/object/HTML.</x:v>
      </x:c>
      <x:c r="F84" s="25" t="str">
        <x:v>AI</x:v>
      </x:c>
      <x:c r="G84" s="25" t="str">
        <x:v>INCOMPLETE (Thiếu)</x:v>
      </x:c>
      <x:c r="H84" s="25" t="str">
        <x:v>Thiếu căn cứ trong đặc tả:** Cấu trúc JSON khi tìm kiếm không ra kết quả chưa được chuẩn hóa trong spec[cite: 1].</x:v>
      </x:c>
      <x:c r="I84" s="25" t="str">
        <x:v>Chưa chạy</x:v>
      </x:c>
      <x:c r="J84" s="25" t="str"/>
      <x:c r="K84" s="25" t="str"/>
      <x:c r="L84" s="26" t="str"/>
    </x:row>
    <x:row r="85">
      <x:c r="A85" s="24" t="str">
        <x:v>SCH-FR05-04</x:v>
      </x:c>
      <x:c r="B85" s="25" t="str">
        <x:v>FR-05</x:v>
      </x:c>
      <x:c r="C85" s="25" t="str">
        <x:v>Schema</x:v>
      </x:c>
      <x:c r="D85" s="25" t="str">
        <x:v>Search input bất thường.</x:v>
      </x:c>
      <x:c r="E85" s="25" t="str">
        <x:v>Error (nếu có) là JSON error, không HTML/stack trace.</x:v>
      </x:c>
      <x:c r="F85" s="25" t="str">
        <x:v>AI</x:v>
      </x:c>
      <x:c r="G85" s="25" t="str">
        <x:v>INCOMPLETE (Thiếu)</x:v>
      </x:c>
      <x:c r="H85" s="25" t="str">
        <x:v>Thiếu căn cứ trong đặc tả:** Cấu trúc JSON Error chưa được công bố trong tài liệu API spec[cite: 1].</x:v>
      </x:c>
      <x:c r="I85" s="25" t="str">
        <x:v>Chưa chạy</x:v>
      </x:c>
      <x:c r="J85" s="25" t="str"/>
      <x:c r="K85" s="25" t="str"/>
      <x:c r="L85" s="26" t="str"/>
    </x:row>
    <x:row r="86">
      <x:c r="A86" s="24" t="str">
        <x:v>SCH-FR08-01</x:v>
      </x:c>
      <x:c r="B86" s="25" t="str">
        <x:v>FR-08</x:v>
      </x:c>
      <x:c r="C86" s="25" t="str">
        <x:v>Schema</x:v>
      </x:c>
      <x:c r="D86" s="25" t="str">
        <x:v>Checkout hợp lệ.</x:v>
      </x:c>
      <x:c r="E86" s="25" t="str">
        <x:v>Object success có `message: string`, `orderId: integer &gt; 0`.</x:v>
      </x:c>
      <x:c r="F86" s="25" t="str">
        <x:v>AI</x:v>
      </x:c>
      <x:c r="G86" s="25" t="str">
        <x:v>INCOMPLETE (Thiếu)</x:v>
      </x:c>
      <x:c r="H86" s="25" t="str">
        <x:v>Thiếu căn cứ trong đặc tả:** Spec không quy định rõ cấu trúc JSON trả về khi Checkout thành công[cite: 1].</x:v>
      </x:c>
      <x:c r="I86" s="25" t="str">
        <x:v>Chưa chạy</x:v>
      </x:c>
      <x:c r="J86" s="25" t="str"/>
      <x:c r="K86" s="25" t="str"/>
      <x:c r="L86" s="26" t="str"/>
    </x:row>
    <x:row r="87">
      <x:c r="A87" s="24" t="str">
        <x:v>SCH-FR08-02</x:v>
      </x:c>
      <x:c r="B87" s="25" t="str">
        <x:v>FR-08</x:v>
      </x:c>
      <x:c r="C87" s="25" t="str">
        <x:v>Schema</x:v>
      </x:c>
      <x:c r="D87" s="25" t="str">
        <x:v>Checkout không token.</x:v>
      </x:c>
      <x:c r="E87" s="25" t="str">
        <x:v>401 JSON `{error: string}`, không `orderId`.</x:v>
      </x:c>
      <x:c r="F87" s="25" t="str">
        <x:v>AI</x:v>
      </x:c>
      <x:c r="G87" s="25" t="str">
        <x:v>INCOMPLETE (Thiếu)</x:v>
      </x:c>
      <x:c r="H87" s="25" t="str">
        <x:v>Thiếu căn cứ trong đặc tả:** Spec thiếu Schema chuẩn cho các phản hồi lỗi Auth[cite: 1].</x:v>
      </x:c>
      <x:c r="I87" s="25" t="str">
        <x:v>Chưa chạy</x:v>
      </x:c>
      <x:c r="J87" s="25" t="str"/>
      <x:c r="K87" s="25" t="str"/>
      <x:c r="L87" s="26" t="str"/>
    </x:row>
    <x:row r="88">
      <x:c r="A88" s="24" t="str">
        <x:v>SCH-FR08-03</x:v>
      </x:c>
      <x:c r="B88" s="25" t="str">
        <x:v>FR-08</x:v>
      </x:c>
      <x:c r="C88" s="25" t="str">
        <x:v>Schema</x:v>
      </x:c>
      <x:c r="D88" s="25" t="str">
        <x:v>Checkout token sai/hết hạn.</x:v>
      </x:c>
      <x:c r="E88" s="25" t="str">
        <x:v>403 JSON `{error: string}`, không `orderId`.</x:v>
      </x:c>
      <x:c r="F88" s="25" t="str">
        <x:v>AI</x:v>
      </x:c>
      <x:c r="G88" s="25" t="str">
        <x:v>INCOMPLETE (Thiếu)</x:v>
      </x:c>
      <x:c r="H88" s="25" t="str">
        <x:v>Thiếu căn cứ trong đặc tả:** Chưa có tài liệu đặc tả cấu trúc JSON Error cho HTTP 403[cite: 1].</x:v>
      </x:c>
      <x:c r="I88" s="25" t="str">
        <x:v>Chưa chạy</x:v>
      </x:c>
      <x:c r="J88" s="25" t="str"/>
      <x:c r="K88" s="25" t="str"/>
      <x:c r="L88" s="26" t="str"/>
    </x:row>
    <x:row r="89">
      <x:c r="A89" s="24" t="str">
        <x:v>SCH-FR08-04</x:v>
      </x:c>
      <x:c r="B89" s="25" t="str">
        <x:v>FR-08</x:v>
      </x:c>
      <x:c r="C89" s="25" t="str">
        <x:v>Schema</x:v>
      </x:c>
      <x:c r="D89" s="25" t="str">
        <x:v>Checkout body sai.</x:v>
      </x:c>
      <x:c r="E89" s="25" t="str">
        <x:v>Nếu reject: JSON error; nếu accept: success schema + hậu kiểm order.</x:v>
      </x:c>
      <x:c r="F89" s="25" t="str">
        <x:v>AI</x:v>
      </x:c>
      <x:c r="G89" s="25" t="str">
        <x:v>INCOMPLETE (Thiếu)</x:v>
      </x:c>
      <x:c r="H89" s="25" t="str">
        <x:v>Thiếu căn cứ trong đặc tả:** Toàn bộ cấu trúc response body sai đều dựa trên suy luận từ mã nguồn[cite: 1].</x:v>
      </x:c>
      <x:c r="I89" s="25" t="str">
        <x:v>Chưa chạy</x:v>
      </x:c>
      <x:c r="J89" s="25" t="str"/>
      <x:c r="K89" s="25" t="str"/>
      <x:c r="L89" s="26" t="str"/>
    </x:row>
    <x:row r="90">
      <x:c r="A90" s="24" t="str">
        <x:v>SCH-FR15-01</x:v>
      </x:c>
      <x:c r="B90" s="25" t="str">
        <x:v>FR-15</x:v>
      </x:c>
      <x:c r="C90" s="25" t="str">
        <x:v>Schema</x:v>
      </x:c>
      <x:c r="D90" s="25" t="str">
        <x:v>Admin tạo product hợp lệ.</x:v>
      </x:c>
      <x:c r="E90" s="25" t="str">
        <x:v>Object `message: string`, `id: integer &gt; 0`, không `error`.</x:v>
      </x:c>
      <x:c r="F90" s="25" t="str">
        <x:v>AI</x:v>
      </x:c>
      <x:c r="G90" s="25" t="str">
        <x:v>INCOMPLETE (Thiếu)</x:v>
      </x:c>
      <x:c r="H90" s="25" t="str">
        <x:v>Thiếu căn cứ trong đặc tả:** Đặc tả không công bố Schema chi tiết cho response tạo mới sản phẩm[cite: 1].</x:v>
      </x:c>
      <x:c r="I90" s="25" t="str">
        <x:v>Chưa chạy</x:v>
      </x:c>
      <x:c r="J90" s="25" t="str"/>
      <x:c r="K90" s="25" t="str"/>
      <x:c r="L90" s="26" t="str"/>
    </x:row>
    <x:row r="91">
      <x:c r="A91" s="24" t="str">
        <x:v>SCH-FR15-02</x:v>
      </x:c>
      <x:c r="B91" s="25" t="str">
        <x:v>FR-15</x:v>
      </x:c>
      <x:c r="C91" s="25" t="str">
        <x:v>Schema</x:v>
      </x:c>
      <x:c r="D91" s="25" t="str">
        <x:v>Admin update `PRODUCT_A`.</x:v>
      </x:c>
      <x:c r="E91" s="25" t="str">
        <x:v>Object success có `message: string`.</x:v>
      </x:c>
      <x:c r="F91" s="25" t="str">
        <x:v>AI</x:v>
      </x:c>
      <x:c r="G91" s="25" t="str">
        <x:v>INCOMPLETE (Thiếu)</x:v>
      </x:c>
      <x:c r="H91" s="25" t="str">
        <x:v>Thiếu căn cứ trong đặc tả:** Không có Schema chính thức cho response cập nhật sản phẩm[cite: 1].</x:v>
      </x:c>
      <x:c r="I91" s="25" t="str">
        <x:v>Chưa chạy</x:v>
      </x:c>
      <x:c r="J91" s="25" t="str"/>
      <x:c r="K91" s="25" t="str"/>
      <x:c r="L91" s="26" t="str"/>
    </x:row>
    <x:row r="92">
      <x:c r="A92" s="24" t="str">
        <x:v>SCH-FR15-03</x:v>
      </x:c>
      <x:c r="B92" s="25" t="str">
        <x:v>FR-15</x:v>
      </x:c>
      <x:c r="C92" s="25" t="str">
        <x:v>Schema</x:v>
      </x:c>
      <x:c r="D92" s="25" t="str">
        <x:v>Admin delete `PRODUCT_A`.</x:v>
      </x:c>
      <x:c r="E92" s="25" t="str">
        <x:v>Object success có `message: string`; hậu kiểm đã xóa.</x:v>
      </x:c>
      <x:c r="F92" s="25" t="str">
        <x:v>AI</x:v>
      </x:c>
      <x:c r="G92" s="25" t="str">
        <x:v>INCOMPLETE (Thiếu)</x:v>
      </x:c>
      <x:c r="H92" s="25" t="str">
        <x:v>Thiếu căn cứ trong đặc tả:** Cấu trúc response xóa sản phẩm dựa hoàn toàn vào code suy luận[cite: 1].</x:v>
      </x:c>
      <x:c r="I92" s="25" t="str">
        <x:v>Chưa chạy</x:v>
      </x:c>
      <x:c r="J92" s="25" t="str"/>
      <x:c r="K92" s="25" t="str"/>
      <x:c r="L92" s="26" t="str"/>
    </x:row>
    <x:row r="93">
      <x:c r="A93" s="24" t="str">
        <x:v>SCH-FR15-04</x:v>
      </x:c>
      <x:c r="B93" s="25" t="str">
        <x:v>FR-15</x:v>
      </x:c>
      <x:c r="C93" s="25" t="str">
        <x:v>Schema</x:v>
      </x:c>
      <x:c r="D93" s="25" t="str">
        <x:v>FR-15 không token/user token.</x:v>
      </x:c>
      <x:c r="E93" s="25" t="str">
        <x:v>Theo đặc tả: JSON error, không `id`/success message.</x:v>
      </x:c>
      <x:c r="F93" s="25" t="str">
        <x:v>AI</x:v>
      </x:c>
      <x:c r="G93" s="25" t="str">
        <x:v>INCOMPLETE (Thiếu)</x:v>
      </x:c>
      <x:c r="H93" s="25" t="str">
        <x:v>Thiếu căn cứ trong đặc tả:** Không có quy định chính thức về Schema báo lỗi phân quyền[cite: 1].</x:v>
      </x:c>
      <x:c r="I93" s="25" t="str">
        <x:v>Chưa chạy</x:v>
      </x:c>
      <x:c r="J93" s="25" t="str"/>
      <x:c r="K93" s="25" t="str"/>
      <x:c r="L93" s="26" t="str"/>
    </x:row>
    <x:row r="94">
      <x:c r="A94" s="24" t="str">
        <x:v>SCH-FR15-05</x:v>
      </x:c>
      <x:c r="B94" s="25" t="str">
        <x:v>FR-15</x:v>
      </x:c>
      <x:c r="C94" s="25" t="str">
        <x:v>Schema</x:v>
      </x:c>
      <x:c r="D94" s="25" t="str">
        <x:v>FR-15 ID/path/body sai.</x:v>
      </x:c>
      <x:c r="E94" s="25" t="str">
        <x:v>JSON error, không HTML/plain-text/stack trace.</x:v>
      </x:c>
      <x:c r="F94" s="25" t="str">
        <x:v>AI</x:v>
      </x:c>
      <x:c r="G94" s="25" t="str">
        <x:v>INCOMPLETE (Thiếu)</x:v>
      </x:c>
      <x:c r="H94" s="25" t="str">
        <x:v>Thiếu căn cứ trong đặc tả:** Thiếu định nghĩa Schema cho các mã lỗi HTTP 400/404[cite: 1].</x:v>
      </x:c>
      <x:c r="I94" s="25" t="str">
        <x:v>Chưa chạy</x:v>
      </x:c>
      <x:c r="J94" s="25" t="str"/>
      <x:c r="K94" s="25" t="str"/>
      <x:c r="L94" s="26" t="str"/>
    </x:row>
    <x:row r="95">
      <x:c r="A95" s="24" t="str">
        <x:v>SCH-ORD-01</x:v>
      </x:c>
      <x:c r="B95" s="25" t="str">
        <x:v>Hỗ trợ</x:v>
      </x:c>
      <x:c r="C95" s="25" t="str">
        <x:v>Schema</x:v>
      </x:c>
      <x:c r="D95" s="25" t="str">
        <x:v>User đọc `my-orders`.</x:v>
      </x:c>
      <x:c r="E95" s="25" t="str">
        <x:v>JSON array; order item có field/type theo schema suy luận.</x:v>
      </x:c>
      <x:c r="F95" s="25" t="str">
        <x:v>AI</x:v>
      </x:c>
      <x:c r="G95" s="25" t="str">
        <x:v>INCOMPLETE (Thiếu)</x:v>
      </x:c>
      <x:c r="H95" s="25" t="str">
        <x:v>Thiếu căn cứ trong đặc tả:** Cấu trúc mảng lịch sử đơn hàng không có đặc tả Schema đi kèm[cite: 1].</x:v>
      </x:c>
      <x:c r="I95" s="25" t="str">
        <x:v>Chưa chạy</x:v>
      </x:c>
      <x:c r="J95" s="25" t="str"/>
      <x:c r="K95" s="25" t="str"/>
      <x:c r="L95" s="26" t="str"/>
    </x:row>
    <x:row r="96">
      <x:c r="A96" s="27" t="str">
        <x:v>SCH-ORD-02</x:v>
      </x:c>
      <x:c r="B96" s="28" t="str">
        <x:v>Hỗ trợ</x:v>
      </x:c>
      <x:c r="C96" s="28" t="str">
        <x:v>Schema</x:v>
      </x:c>
      <x:c r="D96" s="28" t="str">
        <x:v>Đọc order không tồn tại/không quyền.</x:v>
      </x:c>
      <x:c r="E96" s="28" t="str">
        <x:v>JSON object `{error: string}`, không HTML/stack trace.</x:v>
      </x:c>
      <x:c r="F96" s="28" t="str">
        <x:v>AI</x:v>
      </x:c>
      <x:c r="G96" s="28" t="str">
        <x:v>INCOMPLETE (Thiếu)</x:v>
      </x:c>
      <x:c r="H96" s="28" t="str">
        <x:v>Thiếu căn cứ trong đặc tả:** Không có đặc tả chính thức cho Schema báo lỗi truy cập đơn hàng[cite: 1].</x:v>
      </x:c>
      <x:c r="I96" s="28" t="str">
        <x:v>Chưa chạy</x:v>
      </x:c>
      <x:c r="J96" s="28" t="str"/>
      <x:c r="K96" s="28" t="str"/>
      <x:c r="L96" s="29" t="str"/>
    </x:row>
  </x:sheetData>
  <x:conditionalFormatting sqref="G2:G96">
    <x:cfRule type="containsText" dxfId="0" priority="1" operator="containsText" text="VALID"/>
    <x:cfRule type="containsText" dxfId="1" priority="2" operator="containsText" text="INVALID"/>
    <x:cfRule type="containsText" dxfId="2" priority="3" operator="containsText" text="INCOMPLETE"/>
  </x:conditionalFormatting>
  <x:conditionalFormatting sqref="I2:I96">
    <x:cfRule type="containsText" dxfId="3" priority="4" operator="containsText" text="PASS"/>
    <x:cfRule type="containsText" dxfId="4" priority="5" operator="containsText" text="FAIL"/>
  </x:conditionalFormatting>
  <x:dataValidations count="2">
    <x:dataValidation type="list" sqref="G2:G96">
      <x:formula1>"VALID (Đúng),INVALID (Sai),INCOMPLETE (Thiếu)"</x:formula1>
    </x:dataValidation>
    <x:dataValidation type="list" sqref="I2:I96">
      <x:formula1>"Chưa chạy,PASS,FAIL,BLOCKED"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c26a780c6c4f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4" t="str">
        <x:v>HW06 - Tổng kết kiểm thử</x:v>
      </x:c>
      <x:c r="B1" s="4"/>
      <x:c r="C1" s="4"/>
      <x:c r="D1" s="4"/>
      <x:c r="E1" s="4"/>
      <x:c r="F1" s="4"/>
    </x:row>
    <x:row r="3">
      <x:c r="A3" s="30" t="str">
        <x:v>Chức năng</x:v>
      </x:c>
      <x:c r="B3" s="30" t="str">
        <x:v>AI sinh</x:v>
      </x:c>
      <x:c r="C3" s="30" t="str">
        <x:v>Đã audit</x:v>
      </x:c>
      <x:c r="D3" s="30" t="str">
        <x:v>VALID</x:v>
      </x:c>
      <x:c r="E3" s="30" t="str">
        <x:v>INVALID</x:v>
      </x:c>
      <x:c r="F3" s="30" t="str">
        <x:v>INCOMPLETE</x:v>
      </x:c>
    </x:row>
    <x:row r="4">
      <x:c r="A4" s="31" t="str">
        <x:v>FR-05</x:v>
      </x:c>
      <x:c r="B4" s="31" t="n">
        <x:f>COUNTIF('Test Cases'!$B$2:$B$96,A4)</x:f>
        <x:v>19</x:v>
      </x:c>
      <x:c r="C4" s="31" t="n">
        <x:f>COUNTIFS('Test Cases'!$B$2:$B$96,A4,'Test Cases'!$G$2:$G$96,"&lt;&gt;")</x:f>
        <x:v>19</x:v>
      </x:c>
      <x:c r="D4" s="31" t="n">
        <x:f>COUNTIFS('Test Cases'!$B$2:$B$96,A4,'Test Cases'!$G$2:$G$96,"VALID (Đúng)")</x:f>
        <x:v>15</x:v>
      </x:c>
      <x:c r="E4" s="31" t="n">
        <x:f>COUNTIFS('Test Cases'!$B$2:$B$96,A4,'Test Cases'!$G$2:$G$96,"INVALID (Sai)")</x:f>
        <x:v>0</x:v>
      </x:c>
      <x:c r="F4" s="31" t="n">
        <x:f>COUNTIFS('Test Cases'!$B$2:$B$96,A4,'Test Cases'!$G$2:$G$96,"INCOMPLETE (Thiếu)")</x:f>
        <x:v>4</x:v>
      </x:c>
    </x:row>
    <x:row r="5">
      <x:c r="A5" s="31" t="str">
        <x:v>FR-08</x:v>
      </x:c>
      <x:c r="B5" s="31" t="n">
        <x:f>COUNTIF('Test Cases'!$B$2:$B$96,A5)</x:f>
        <x:v>23</x:v>
      </x:c>
      <x:c r="C5" s="31" t="n">
        <x:f>COUNTIFS('Test Cases'!$B$2:$B$96,A5,'Test Cases'!$G$2:$G$96,"&lt;&gt;")</x:f>
        <x:v>23</x:v>
      </x:c>
      <x:c r="D5" s="31" t="n">
        <x:f>COUNTIFS('Test Cases'!$B$2:$B$96,A5,'Test Cases'!$G$2:$G$96,"VALID (Đúng)")</x:f>
        <x:v>14</x:v>
      </x:c>
      <x:c r="E5" s="31" t="n">
        <x:f>COUNTIFS('Test Cases'!$B$2:$B$96,A5,'Test Cases'!$G$2:$G$96,"INVALID (Sai)")</x:f>
        <x:v>3</x:v>
      </x:c>
      <x:c r="F5" s="31" t="n">
        <x:f>COUNTIFS('Test Cases'!$B$2:$B$96,A5,'Test Cases'!$G$2:$G$96,"INCOMPLETE (Thiếu)")</x:f>
        <x:v>6</x:v>
      </x:c>
    </x:row>
    <x:row r="6">
      <x:c r="A6" s="31" t="str">
        <x:v>FR-15</x:v>
      </x:c>
      <x:c r="B6" s="31" t="n">
        <x:f>COUNTIF('Test Cases'!$B$2:$B$96,A6)</x:f>
        <x:v>32</x:v>
      </x:c>
      <x:c r="C6" s="31" t="n">
        <x:f>COUNTIFS('Test Cases'!$B$2:$B$96,A6,'Test Cases'!$G$2:$G$96,"&lt;&gt;")</x:f>
        <x:v>32</x:v>
      </x:c>
      <x:c r="D6" s="31" t="n">
        <x:f>COUNTIFS('Test Cases'!$B$2:$B$96,A6,'Test Cases'!$G$2:$G$96,"VALID (Đúng)")</x:f>
        <x:v>24</x:v>
      </x:c>
      <x:c r="E6" s="31" t="n">
        <x:f>COUNTIFS('Test Cases'!$B$2:$B$96,A6,'Test Cases'!$G$2:$G$96,"INVALID (Sai)")</x:f>
        <x:v>0</x:v>
      </x:c>
      <x:c r="F6" s="31" t="n">
        <x:f>COUNTIFS('Test Cases'!$B$2:$B$96,A6,'Test Cases'!$G$2:$G$96,"INCOMPLETE (Thiếu)")</x:f>
        <x:v>8</x:v>
      </x:c>
    </x:row>
    <x:row r="7">
      <x:c r="A7" s="31" t="str">
        <x:v>Hỗ trợ</x:v>
      </x:c>
      <x:c r="B7" s="31" t="n">
        <x:f>COUNTIF('Test Cases'!$B$2:$B$96,A7)</x:f>
        <x:v>21</x:v>
      </x:c>
      <x:c r="C7" s="31" t="n">
        <x:f>COUNTIFS('Test Cases'!$B$2:$B$96,A7,'Test Cases'!$G$2:$G$96,"&lt;&gt;")</x:f>
        <x:v>21</x:v>
      </x:c>
      <x:c r="D7" s="31" t="n">
        <x:f>COUNTIFS('Test Cases'!$B$2:$B$96,A7,'Test Cases'!$G$2:$G$96,"VALID (Đúng)")</x:f>
        <x:v>17</x:v>
      </x:c>
      <x:c r="E7" s="31" t="n">
        <x:f>COUNTIFS('Test Cases'!$B$2:$B$96,A7,'Test Cases'!$G$2:$G$96,"INVALID (Sai)")</x:f>
        <x:v>1</x:v>
      </x:c>
      <x:c r="F7" s="31" t="n">
        <x:f>COUNTIFS('Test Cases'!$B$2:$B$96,A7,'Test Cases'!$G$2:$G$96,"INCOMPLETE (Thiếu)")</x:f>
        <x:v>3</x:v>
      </x:c>
    </x:row>
    <x:row r="8">
      <x:c r="A8" s="33" t="str">
        <x:v>Tổng cộng</x:v>
      </x:c>
      <x:c r="B8" s="33" t="n">
        <x:f>SUM(B4:B7)</x:f>
        <x:v>95</x:v>
      </x:c>
      <x:c r="C8" s="33" t="n">
        <x:f>SUM(C4:C7)</x:f>
        <x:v>95</x:v>
      </x:c>
      <x:c r="D8" s="33" t="n">
        <x:f>SUM(D4:D7)</x:f>
        <x:v>70</x:v>
      </x:c>
      <x:c r="E8" s="33" t="n">
        <x:f>SUM(E4:E7)</x:f>
        <x:v>4</x:v>
      </x:c>
      <x:c r="F8" s="33" t="n">
        <x:f>SUM(F4:F7)</x:f>
        <x:v>21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4" hidden="0" customWidth="1"/>
    <x:col min="4" max="4" width="42" hidden="0" customWidth="1"/>
    <x:col min="5" max="5" width="14" hidden="0" customWidth="1"/>
    <x:col min="6" max="6" width="40" hidden="0" customWidth="1"/>
  </x:cols>
  <x:sheetData>
    <x:row r="1" ht="28" customHeight="1">
      <x:c r="A1" s="4" t="str">
        <x:v>Newman Pilot Run - 2026-08-30 03:43 (Windows host)</x:v>
      </x:c>
      <x:c r="B1" s="4"/>
      <x:c r="C1" s="4"/>
      <x:c r="D1" s="4"/>
      <x:c r="E1" s="4"/>
      <x:c r="F1" s="4"/>
    </x:row>
    <x:row r="3">
      <x:c r="A3" s="30" t="str">
        <x:v>Thuộc tính</x:v>
      </x:c>
      <x:c r="B3" s="30" t="str">
        <x:v>Giá trị</x:v>
      </x:c>
      <x:c r="D3" s="30" t="str">
        <x:v>Assertion fail</x:v>
      </x:c>
      <x:c r="E3" s="30" t="str">
        <x:v>Kết quả</x:v>
      </x:c>
      <x:c r="F3" s="30" t="str">
        <x:v>Ghi chú audit</x:v>
      </x:c>
    </x:row>
    <x:row r="4">
      <x:c r="A4" s="31" t="str">
        <x:v>Newman</x:v>
      </x:c>
      <x:c r="B4" s="31" t="str">
        <x:v>6.2.2 tại C:\Users\Uyen Nhu\AppData\Roaming\npm\newman.cmd</x:v>
      </x:c>
      <x:c r="D4" s="31" t="str">
        <x:v>SEC-SQL-01 - SQL injection trong search</x:v>
      </x:c>
      <x:c r="E4" s="31" t="str">
        <x:v>FAIL</x:v>
      </x:c>
      <x:c r="F4" s="31" t="str">
        <x:v>Tái hiện và audit trước khi xác nhận bug.</x:v>
      </x:c>
    </x:row>
    <x:row r="5">
      <x:c r="A5" s="31" t="str">
        <x:v>SUT</x:v>
      </x:c>
      <x:c r="B5" s="31" t="str">
        <x:v>http://127.0.0.1:3000</x:v>
      </x:c>
      <x:c r="D5" s="31" t="str">
        <x:v>SEC-RBAC-01 - Create product không token bị từ chối</x:v>
      </x:c>
      <x:c r="E5" s="31" t="str">
        <x:v>FAIL</x:v>
      </x:c>
      <x:c r="F5" s="31" t="str">
        <x:v>Tái hiện và audit trước khi xác nhận bug.</x:v>
      </x:c>
    </x:row>
    <x:row r="6">
      <x:c r="A6" s="31" t="str">
        <x:v>Requests</x:v>
      </x:c>
      <x:c r="B6" s="31" t="n">
        <x:v>15</x:v>
      </x:c>
    </x:row>
    <x:row r="7">
      <x:c r="A7" s="31" t="str">
        <x:v>Assertions pass</x:v>
      </x:c>
      <x:c r="B7" s="31" t="n">
        <x:v>29</x:v>
      </x:c>
    </x:row>
    <x:row r="8">
      <x:c r="A8" s="31" t="str">
        <x:v>Assertions fail</x:v>
      </x:c>
      <x:c r="B8" s="31" t="n">
        <x:v>2</x:v>
      </x:c>
    </x:row>
    <x:row r="9">
      <x:c r="A9" s="31" t="str">
        <x:v>Header X-Student-Id</x:v>
      </x:c>
      <x:c r="B9" s="31" t="str">
        <x:v>22127315 - 15/15 requests</x:v>
      </x:c>
    </x:row>
    <x:row r="10">
      <x:c r="A10" s="31" t="str">
        <x:v>Evidence JSON</x:v>
      </x:c>
      <x:c r="B10" s="31" t="str">
        <x:v>hw06/newman-reports/HW06_Newman_Run_22127315.json</x:v>
      </x:c>
    </x:row>
  </x:sheetData>
  <x:mergeCells>
    <x:mergeCell ref="A1:F1"/>
  </x:mergeCells>
  <x:pageMargins left="0.7" right="0.7" top="0.75" bottom="0.75" header="0.3" footer="0.3"/>
</x:worksheet>
</file>